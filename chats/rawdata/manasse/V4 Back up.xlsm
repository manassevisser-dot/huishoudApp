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connectie-my.sharepoint.com/personal/manasse_visser_arnhem_nl/Documents/Bureaublad/versie3/v3.3/"/>
    </mc:Choice>
  </mc:AlternateContent>
  <xr:revisionPtr revIDLastSave="1" documentId="8_{63D580DF-B719-47B0-8373-CB8AB9457497}" xr6:coauthVersionLast="47" xr6:coauthVersionMax="47" xr10:uidLastSave="{178EDA01-6DD3-4F58-98B7-0A755488E93A}"/>
  <bookViews>
    <workbookView xWindow="1520" yWindow="1520" windowWidth="17060" windowHeight="9450" firstSheet="2" activeTab="3" xr2:uid="{00000000-000D-0000-FFFF-FFFF00000000}"/>
  </bookViews>
  <sheets>
    <sheet name="Vast" sheetId="6" r:id="rId1"/>
    <sheet name="November" sheetId="9" r:id="rId2"/>
    <sheet name="ErrorLog" sheetId="10" r:id="rId3"/>
    <sheet name="Referenties" sheetId="8" r:id="rId4"/>
    <sheet name="Invoer" sheetId="1" r:id="rId5"/>
    <sheet name="rekentool" sheetId="7" r:id="rId6"/>
    <sheet name="Database" sheetId="2" r:id="rId7"/>
    <sheet name="Maand" sheetId="3" r:id="rId8"/>
  </sheets>
  <functionGroups builtInGroupCount="19"/>
  <definedNames>
    <definedName name="_xlnm._FilterDatabase" localSheetId="4" hidden="1">Invoer!$21:$24</definedName>
    <definedName name="_xleta.AND" hidden="1" xlm="1">#NAME?</definedName>
    <definedName name="_xleta.COUNT" hidden="1" xlm="1">#NAME?</definedName>
    <definedName name="_xleta.YEAR" hidden="1" xlm="1">#NAME?</definedName>
    <definedName name="_xlnm.Criteria" localSheetId="4">Invoer!#REF!</definedName>
    <definedName name="Partner?">Invoer!#REF!</definedName>
    <definedName name="tbl_cat_sub">tbl[#All]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" i="8" l="1" a="1"/>
  <c r="S7" i="8"/>
  <c r="S6" i="8" a="1"/>
  <c r="S6" i="8"/>
  <c r="AF5" i="8" a="1"/>
  <c r="AF5" i="8" s="1"/>
  <c r="AF6" i="8" a="1"/>
  <c r="AF6" i="8" s="1"/>
  <c r="B11" i="9"/>
  <c r="E24" i="6"/>
  <c r="C74" i="6"/>
  <c r="C73" i="6"/>
  <c r="C53" i="6"/>
  <c r="E53" i="6" s="1" a="1"/>
  <c r="E53" i="6" s="1"/>
  <c r="C51" i="6"/>
  <c r="C39" i="6"/>
  <c r="C33" i="6"/>
  <c r="C14" i="6"/>
  <c r="P3" i="7"/>
  <c r="O3" i="7"/>
  <c r="A13" i="7"/>
  <c r="I2" i="7" a="1"/>
  <c r="L3" i="7" s="1"/>
  <c r="D2" i="7" a="1"/>
  <c r="G6" i="7" s="1"/>
  <c r="B2" i="7"/>
  <c r="B4" i="7" s="1"/>
  <c r="C43" i="6" s="1"/>
  <c r="E43" i="6" s="1"/>
  <c r="E1" i="7" a="1"/>
  <c r="E1" i="7" s="1"/>
  <c r="E79" i="6" a="1"/>
  <c r="E79" i="6" s="1"/>
  <c r="E78" i="6" a="1"/>
  <c r="E78" i="6" s="1"/>
  <c r="E77" i="6" a="1"/>
  <c r="E77" i="6" s="1"/>
  <c r="E76" i="6" a="1"/>
  <c r="E76" i="6" s="1"/>
  <c r="E74" i="6" a="1"/>
  <c r="E74" i="6" s="1"/>
  <c r="E73" i="6" a="1"/>
  <c r="E73" i="6" s="1"/>
  <c r="E72" i="6" a="1"/>
  <c r="E72" i="6" s="1"/>
  <c r="E71" i="6" a="1"/>
  <c r="E71" i="6" s="1"/>
  <c r="E70" i="6" a="1"/>
  <c r="E70" i="6" s="1"/>
  <c r="E69" i="6" a="1"/>
  <c r="E69" i="6" s="1"/>
  <c r="E68" i="6" a="1"/>
  <c r="E68" i="6" s="1"/>
  <c r="E67" i="6" a="1"/>
  <c r="E67" i="6" s="1"/>
  <c r="E65" i="6" a="1"/>
  <c r="E65" i="6" s="1"/>
  <c r="E64" i="6" a="1"/>
  <c r="E64" i="6" s="1"/>
  <c r="E63" i="6" a="1"/>
  <c r="E63" i="6" s="1"/>
  <c r="E62" i="6" a="1"/>
  <c r="E62" i="6" s="1"/>
  <c r="E61" i="6" a="1"/>
  <c r="E61" i="6" s="1"/>
  <c r="E60" i="6" a="1"/>
  <c r="E60" i="6" s="1"/>
  <c r="E58" i="6" a="1"/>
  <c r="E58" i="6" s="1"/>
  <c r="E55" i="6" a="1"/>
  <c r="E55" i="6" s="1"/>
  <c r="E54" i="6" a="1"/>
  <c r="E54" i="6" s="1"/>
  <c r="E52" i="6" a="1"/>
  <c r="E52" i="6" s="1"/>
  <c r="E51" i="6" a="1"/>
  <c r="E51" i="6" s="1"/>
  <c r="E50" i="6" a="1"/>
  <c r="E50" i="6" s="1"/>
  <c r="E48" i="6" a="1"/>
  <c r="E48" i="6" s="1"/>
  <c r="E47" i="6" a="1"/>
  <c r="E47" i="6" s="1"/>
  <c r="E46" i="6" a="1"/>
  <c r="E46" i="6" s="1"/>
  <c r="E45" i="6" a="1"/>
  <c r="E45" i="6" s="1"/>
  <c r="E44" i="6" a="1"/>
  <c r="E44" i="6" s="1"/>
  <c r="E42" i="6" a="1"/>
  <c r="E42" i="6" s="1"/>
  <c r="E41" i="6" a="1"/>
  <c r="E41" i="6" s="1"/>
  <c r="E39" i="6"/>
  <c r="E38" i="6"/>
  <c r="E37" i="6" a="1"/>
  <c r="E37" i="6" s="1"/>
  <c r="E36" i="6" a="1"/>
  <c r="E36" i="6" s="1"/>
  <c r="E35" i="6" a="1"/>
  <c r="E35" i="6" s="1"/>
  <c r="E34" i="6" a="1"/>
  <c r="E34" i="6" s="1"/>
  <c r="E33" i="6" a="1"/>
  <c r="E33" i="6" s="1"/>
  <c r="E32" i="6" a="1"/>
  <c r="E32" i="6" s="1"/>
  <c r="E31" i="6" a="1"/>
  <c r="E31" i="6" s="1"/>
  <c r="E30" i="6" a="1"/>
  <c r="E30" i="6" s="1"/>
  <c r="E29" i="6" a="1"/>
  <c r="E29" i="6" s="1"/>
  <c r="E28" i="6" a="1"/>
  <c r="E28" i="6" s="1"/>
  <c r="E27" i="6" a="1"/>
  <c r="E27" i="6" s="1"/>
  <c r="E23" i="6" a="1"/>
  <c r="E23" i="6" s="1"/>
  <c r="E22" i="6" a="1"/>
  <c r="E22" i="6" s="1"/>
  <c r="E21" i="6" a="1"/>
  <c r="E21" i="6" s="1"/>
  <c r="E20" i="6" a="1"/>
  <c r="E20" i="6" s="1"/>
  <c r="E19" i="6" a="1"/>
  <c r="E19" i="6" s="1"/>
  <c r="E18" i="6" a="1"/>
  <c r="E18" i="6" s="1"/>
  <c r="E17" i="6" a="1"/>
  <c r="E17" i="6" s="1"/>
  <c r="E16" i="6" a="1"/>
  <c r="E16" i="6" s="1"/>
  <c r="E15" i="6"/>
  <c r="E14" i="6"/>
  <c r="E13" i="6" a="1"/>
  <c r="E13" i="6" s="1"/>
  <c r="G5" i="7" l="1"/>
  <c r="L4" i="7"/>
  <c r="L5" i="7"/>
  <c r="L6" i="7"/>
  <c r="L7" i="7"/>
  <c r="L9" i="7"/>
  <c r="D2" i="7"/>
  <c r="G2" i="7" s="1"/>
  <c r="G7" i="7"/>
  <c r="G8" i="7"/>
  <c r="I2" i="7"/>
  <c r="L2" i="7" s="1"/>
  <c r="L8" i="7"/>
  <c r="G9" i="7"/>
  <c r="I10" i="7"/>
  <c r="I11" i="7" s="1"/>
  <c r="G3" i="7"/>
  <c r="G4" i="7"/>
  <c r="D10" i="7" l="1"/>
  <c r="E17" i="7" s="1"/>
  <c r="E19" i="7"/>
  <c r="E18" i="7"/>
  <c r="F11" i="7"/>
  <c r="B14" i="7" s="1"/>
  <c r="B15" i="7" s="1"/>
  <c r="K11" i="7" a="1"/>
  <c r="K11" i="7" s="1"/>
  <c r="E16" i="7" l="1"/>
  <c r="F22" i="7" s="1" a="1"/>
  <c r="F22" i="7" s="1"/>
  <c r="B16" i="7"/>
  <c r="B17" i="7" s="1"/>
  <c r="C57" i="6"/>
  <c r="E57" i="6" s="1" a="1"/>
  <c r="E57" i="6" s="1"/>
  <c r="C59" i="6" l="1"/>
  <c r="E59" i="6" s="1" a="1"/>
  <c r="E59" i="6" s="1"/>
  <c r="E80" i="6" s="1"/>
  <c r="E82" i="6" s="1"/>
  <c r="N3" i="7" l="1"/>
  <c r="N4" i="7" l="1"/>
  <c r="C88" i="6" s="1"/>
  <c r="E88" i="6" s="1"/>
  <c r="O4" i="7" l="1"/>
  <c r="P4" i="7" s="1"/>
  <c r="N6" i="7" s="1"/>
  <c r="C85" i="6"/>
  <c r="C87" i="6"/>
  <c r="C86" i="6"/>
  <c r="C89" i="6"/>
  <c r="E89" i="6" l="1"/>
  <c r="E87" i="6"/>
  <c r="E86" i="6"/>
  <c r="E85" i="6"/>
  <c r="C90" i="6"/>
  <c r="E9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24D626-83BF-4926-9DAC-32BEFC3D8A05}" keepAlive="1" name="Query - Tabel1" description="Verbinding maken met de query Tabel1 in de werkmap." type="5" refreshedVersion="8" background="1" saveData="1">
    <dbPr connection="Provider=Microsoft.Mashup.OleDb.1;Data Source=$Workbook$;Location=Tabel1;Extended Properties=&quot;&quot;" command="SELECT * FROM [Tabel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<sst xmlns="http://schemas.openxmlformats.org/spreadsheetml/2006/main" count="416" uniqueCount="231">
  <si>
    <t>Datum</t>
  </si>
  <si>
    <t>Dag</t>
  </si>
  <si>
    <t>Categorie</t>
  </si>
  <si>
    <t>Bedrag</t>
  </si>
  <si>
    <t>Maand</t>
  </si>
  <si>
    <t>Wknr</t>
  </si>
  <si>
    <t>Vervoer</t>
  </si>
  <si>
    <t>maand</t>
  </si>
  <si>
    <t>Roken</t>
  </si>
  <si>
    <t>BtlWijz</t>
  </si>
  <si>
    <t>INKOMEN</t>
  </si>
  <si>
    <t>Instantie/werkgever</t>
  </si>
  <si>
    <t>Datum inkomen</t>
  </si>
  <si>
    <t>Inkomen/uitkering</t>
  </si>
  <si>
    <t>Vakantiegeld</t>
  </si>
  <si>
    <t>jaar</t>
  </si>
  <si>
    <t>Kinderbijslag</t>
  </si>
  <si>
    <t>kwartaal</t>
  </si>
  <si>
    <t>Tegemoetkoming studiekosten</t>
  </si>
  <si>
    <t>Voorlopige teruggave Belastingen</t>
  </si>
  <si>
    <t>Huurtoeslag</t>
  </si>
  <si>
    <t>Zorgtoeslag</t>
  </si>
  <si>
    <t>Kinderopvangtoeslag</t>
  </si>
  <si>
    <t>Kindgebonden budget</t>
  </si>
  <si>
    <t>Heffingskortingen Belastingen</t>
  </si>
  <si>
    <t>Overige inkomsten</t>
  </si>
  <si>
    <t>Totaal inkomsten</t>
  </si>
  <si>
    <t>UITGAVEN</t>
  </si>
  <si>
    <t>Vaste lasten</t>
  </si>
  <si>
    <t>Instantie</t>
  </si>
  <si>
    <t>Wonen</t>
  </si>
  <si>
    <t>Huur (kaal)</t>
  </si>
  <si>
    <t>Hypotheek (bruto)</t>
  </si>
  <si>
    <t>Levensverzekering</t>
  </si>
  <si>
    <t>Erfpacht</t>
  </si>
  <si>
    <t>Servicekosten</t>
  </si>
  <si>
    <t>Kostgeld (te betalen)</t>
  </si>
  <si>
    <t>Energie gas en electra</t>
  </si>
  <si>
    <t>Netwerk energie</t>
  </si>
  <si>
    <t>Netwerk gas</t>
  </si>
  <si>
    <t>Water</t>
  </si>
  <si>
    <t>Onroerende Zaak belasting</t>
  </si>
  <si>
    <t>Afvalstoffenheffing</t>
  </si>
  <si>
    <t>Waterzuiveringsheffing</t>
  </si>
  <si>
    <t>Verzekeren</t>
  </si>
  <si>
    <t>Ziektekostenverzekering</t>
  </si>
  <si>
    <t>Aanvullende ziektekosten</t>
  </si>
  <si>
    <t>Eigen risico ziektekosten</t>
  </si>
  <si>
    <t>Opstalverzekering</t>
  </si>
  <si>
    <t>Aansprakelijkheidsverzekering</t>
  </si>
  <si>
    <t>Inboedelverzekering</t>
  </si>
  <si>
    <t>Uitvaart verzekering</t>
  </si>
  <si>
    <t>Abonnementen</t>
  </si>
  <si>
    <t>Vaste telefoon</t>
  </si>
  <si>
    <t xml:space="preserve">Mobiele telefoon </t>
  </si>
  <si>
    <t>Internet en Televisie</t>
  </si>
  <si>
    <t xml:space="preserve">Abonnement </t>
  </si>
  <si>
    <t>Rekening</t>
  </si>
  <si>
    <t>Contributie verenigingen</t>
  </si>
  <si>
    <t>Overige kosten</t>
  </si>
  <si>
    <t>Huishoudgeld</t>
  </si>
  <si>
    <t>Financiele remweg</t>
  </si>
  <si>
    <t>Aflossen aan schulden</t>
  </si>
  <si>
    <t>Actuele lening kredietbank</t>
  </si>
  <si>
    <t>Bankkosten</t>
  </si>
  <si>
    <t>Financieel beheer 6 euro (SB)</t>
  </si>
  <si>
    <t>Betalingsregelingen</t>
  </si>
  <si>
    <t>Vervoerskosten</t>
  </si>
  <si>
    <t>Wegenbelasting</t>
  </si>
  <si>
    <t>Autoverzekering</t>
  </si>
  <si>
    <t>APK</t>
  </si>
  <si>
    <t>Reserveren onderhoud auto</t>
  </si>
  <si>
    <t>Afbetaling auto /Lease bij werk</t>
  </si>
  <si>
    <t>Afschrijving auto</t>
  </si>
  <si>
    <t>Brandstof</t>
  </si>
  <si>
    <t>Openbaar vervoer</t>
  </si>
  <si>
    <t>Kinderen en opleiding</t>
  </si>
  <si>
    <t>Te betalen alimentatie</t>
  </si>
  <si>
    <t>School- en studiekosten</t>
  </si>
  <si>
    <t>Kinderopvang</t>
  </si>
  <si>
    <t>Sparen voor kinderen</t>
  </si>
  <si>
    <t>Sparen feestdagen</t>
  </si>
  <si>
    <t>Sparen kleding</t>
  </si>
  <si>
    <t>Sparen huisdieren</t>
  </si>
  <si>
    <t>Sparen vakantie en vrijetijd</t>
  </si>
  <si>
    <t>sporten</t>
  </si>
  <si>
    <t>Totaal uitgaven</t>
  </si>
  <si>
    <t>Verschil inkomen en uitgaven</t>
  </si>
  <si>
    <t>Overzicht inkomsten en uitgaven</t>
  </si>
  <si>
    <t>Periode</t>
  </si>
  <si>
    <t>Periode:</t>
  </si>
  <si>
    <t>Mijn huishouden bestaat uit:</t>
  </si>
  <si>
    <t>Volwassenen:</t>
  </si>
  <si>
    <t>Aantal:</t>
  </si>
  <si>
    <t>Kinderen:</t>
  </si>
  <si>
    <t>man tot 50 jaar</t>
  </si>
  <si>
    <t>geen kind</t>
  </si>
  <si>
    <t>man van 51 tot 69 jaar</t>
  </si>
  <si>
    <t>kind tussen 1-3 jaar</t>
  </si>
  <si>
    <t>man boven de 70 jaar</t>
  </si>
  <si>
    <t>kind tussen 4-8 jaar</t>
  </si>
  <si>
    <t>vrouw die zwangere is</t>
  </si>
  <si>
    <t>kind tussen 9-13 jaar</t>
  </si>
  <si>
    <t>vrouw die borstvoeding geeft</t>
  </si>
  <si>
    <t>puberzoon van 14 tot 18 jaar</t>
  </si>
  <si>
    <t>vrouw tot 50 jaar</t>
  </si>
  <si>
    <t>puberdochter 14 tot 18 jaar</t>
  </si>
  <si>
    <t>vrouw van 51 tot 69 jaar</t>
  </si>
  <si>
    <t>volwassen zoon</t>
  </si>
  <si>
    <t>vrouw boven de 70 jaar</t>
  </si>
  <si>
    <t>volwassen dochter</t>
  </si>
  <si>
    <t>4 weken</t>
  </si>
  <si>
    <t>Eten</t>
  </si>
  <si>
    <t>Eigen risico zv</t>
  </si>
  <si>
    <t>AANTAL</t>
  </si>
  <si>
    <t>Aantal</t>
  </si>
  <si>
    <t>baby</t>
  </si>
  <si>
    <t>Normbedragen huishoudgeld</t>
  </si>
  <si>
    <t>TOTAAL eten:</t>
  </si>
  <si>
    <t>formule</t>
  </si>
  <si>
    <t>Normbedragen financiele remweg</t>
  </si>
  <si>
    <t>huishoudgeld</t>
  </si>
  <si>
    <t>Normbedrag</t>
  </si>
  <si>
    <t>Situatie</t>
  </si>
  <si>
    <t>eten</t>
  </si>
  <si>
    <t>Eigen woning extra onderhoud</t>
  </si>
  <si>
    <t>restant</t>
  </si>
  <si>
    <t>Eigen auto onderhoud</t>
  </si>
  <si>
    <t>alleen?</t>
  </si>
  <si>
    <t>samen?</t>
  </si>
  <si>
    <t>wel kind?</t>
  </si>
  <si>
    <t>geen kind?</t>
  </si>
  <si>
    <t>Nee</t>
  </si>
  <si>
    <t>in +</t>
  </si>
  <si>
    <t>kind?</t>
  </si>
  <si>
    <t>dier?</t>
  </si>
  <si>
    <t>Er is/zijn huisdier(en)?</t>
  </si>
  <si>
    <t>SPAAR ADVIES:</t>
  </si>
  <si>
    <t>Totaal sparen per maand</t>
  </si>
  <si>
    <t>per jaar</t>
  </si>
  <si>
    <t xml:space="preserve">In een jaar kun je </t>
  </si>
  <si>
    <t>Dit is een voorspelling:</t>
  </si>
  <si>
    <t>Weeknr</t>
  </si>
  <si>
    <t>Totaal</t>
  </si>
  <si>
    <t>Aantal categorieën</t>
  </si>
  <si>
    <t>Meest gebruikte categorie</t>
  </si>
  <si>
    <t>ttl</t>
  </si>
  <si>
    <t>gpd</t>
  </si>
  <si>
    <t>gpw</t>
  </si>
  <si>
    <t>dudg</t>
  </si>
  <si>
    <t>duwk</t>
  </si>
  <si>
    <t>m_u_a</t>
  </si>
  <si>
    <t>2025-11</t>
  </si>
  <si>
    <t>Kol2</t>
  </si>
  <si>
    <t>Kol3</t>
  </si>
  <si>
    <t>Kol4</t>
  </si>
  <si>
    <t>Kol5</t>
  </si>
  <si>
    <t>Overzicht voor November</t>
  </si>
  <si>
    <t>Inkomsten</t>
  </si>
  <si>
    <t>Bron</t>
  </si>
  <si>
    <t>Uitgaven</t>
  </si>
  <si>
    <t>Saldo</t>
  </si>
  <si>
    <t>Subcategorie</t>
  </si>
  <si>
    <t>Boodschappen</t>
  </si>
  <si>
    <t>Hapje/Drankje</t>
  </si>
  <si>
    <t>Uitje</t>
  </si>
  <si>
    <t>Kleding e.d.</t>
  </si>
  <si>
    <t>Bestellen</t>
  </si>
  <si>
    <t>Lisa</t>
  </si>
  <si>
    <t>Kyra</t>
  </si>
  <si>
    <t>Extra</t>
  </si>
  <si>
    <t>ov</t>
  </si>
  <si>
    <t>Opladen</t>
  </si>
  <si>
    <t>Concert</t>
  </si>
  <si>
    <t>Sauna</t>
  </si>
  <si>
    <t>Uit eten</t>
  </si>
  <si>
    <t>Bar</t>
  </si>
  <si>
    <t>Kleding nieuw</t>
  </si>
  <si>
    <t>Kleding 2e hands</t>
  </si>
  <si>
    <t>Schoenen</t>
  </si>
  <si>
    <t>Onzin</t>
  </si>
  <si>
    <t>Zakgeld</t>
  </si>
  <si>
    <t>Verzorging</t>
  </si>
  <si>
    <t>Sparen</t>
  </si>
  <si>
    <t>School</t>
  </si>
  <si>
    <t>Anders</t>
  </si>
  <si>
    <t>Cadeaus</t>
  </si>
  <si>
    <t>Vakantie</t>
  </si>
  <si>
    <t>Beleggen</t>
  </si>
  <si>
    <t>Cadeau</t>
  </si>
  <si>
    <t>Kleding e.d</t>
  </si>
  <si>
    <t>Overig</t>
  </si>
  <si>
    <t>Kleding</t>
  </si>
  <si>
    <t>Jaar|Week</t>
  </si>
  <si>
    <t>Jaar</t>
  </si>
  <si>
    <t>2025|47</t>
  </si>
  <si>
    <t>2025-10</t>
  </si>
  <si>
    <t>Module</t>
  </si>
  <si>
    <t>Functie</t>
  </si>
  <si>
    <t>Foutmelding</t>
  </si>
  <si>
    <t>Reporting</t>
  </si>
  <si>
    <t>BerekenMaandTotaal</t>
  </si>
  <si>
    <t>[6] Overloop</t>
  </si>
  <si>
    <t xml:space="preserve">Key </t>
  </si>
  <si>
    <t xml:space="preserve"> ShapeName </t>
  </si>
  <si>
    <t xml:space="preserve"> Width </t>
  </si>
  <si>
    <t xml:space="preserve"> Height </t>
  </si>
  <si>
    <t xml:space="preserve"> X </t>
  </si>
  <si>
    <t xml:space="preserve"> Y </t>
  </si>
  <si>
    <t xml:space="preserve"> DefaultColor </t>
  </si>
  <si>
    <t xml:space="preserve"> HoverColor </t>
  </si>
  <si>
    <t xml:space="preserve"> Notes</t>
  </si>
  <si>
    <t>Prev</t>
  </si>
  <si>
    <t>Next</t>
  </si>
  <si>
    <t>Save</t>
  </si>
  <si>
    <t>Cancel</t>
  </si>
  <si>
    <t>RowAdd</t>
  </si>
  <si>
    <t>RowDel</t>
  </si>
  <si>
    <t>btnShapeMedium</t>
  </si>
  <si>
    <t>#0078D4</t>
  </si>
  <si>
    <t>#3399FF</t>
  </si>
  <si>
    <t>Previous button</t>
  </si>
  <si>
    <t>btnShapeLarge</t>
  </si>
  <si>
    <t>Next button</t>
  </si>
  <si>
    <t>#107C10</t>
  </si>
  <si>
    <t>#28A745</t>
  </si>
  <si>
    <t>Save button</t>
  </si>
  <si>
    <t>#A80000</t>
  </si>
  <si>
    <t>#D83B01</t>
  </si>
  <si>
    <t>Cancel button</t>
  </si>
  <si>
    <t>btnShapeSmall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</si>
</sst>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164" formatCode="&quot;€&quot;\ #,##0.00"/>
    <numFmt numFmtId="165" formatCode="&quot;€&quot;\ #,##0.00;[Red]&quot;€&quot;\ #,##0.00"/>
  </numFmts>
  <fonts count="33">
    <font>
      <sz val="11"/>
      <color theme="1"/>
      <name val="Calibri"/>
      <family val="2"/>
      <scheme val="minor"/>
    </font>
    <font>
      <sz val="8"/>
      <color theme="1"/>
      <name val="Lato"/>
      <family val="2"/>
    </font>
    <font>
      <sz val="8"/>
      <color theme="1"/>
      <name val="Lato"/>
      <family val="2"/>
    </font>
    <font>
      <sz val="8"/>
      <color theme="1"/>
      <name val="Lato"/>
      <family val="2"/>
    </font>
    <font>
      <sz val="8"/>
      <color theme="1"/>
      <name val="Lato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8"/>
      <color theme="1"/>
      <name val="Lato"/>
      <family val="2"/>
    </font>
    <font>
      <sz val="8"/>
      <name val="Calibri"/>
      <family val="2"/>
      <scheme val="minor"/>
    </font>
    <font>
      <b/>
      <sz val="8"/>
      <color theme="4"/>
      <name val="Lato"/>
      <family val="2"/>
    </font>
    <font>
      <b/>
      <sz val="8"/>
      <name val="Lato"/>
      <family val="2"/>
    </font>
    <font>
      <sz val="8"/>
      <name val="Lato"/>
      <family val="2"/>
    </font>
    <font>
      <sz val="8"/>
      <color theme="8" tint="-0.249977111117893"/>
      <name val="Lato"/>
      <family val="2"/>
    </font>
    <font>
      <i/>
      <sz val="8"/>
      <color theme="1"/>
      <name val="Lato"/>
      <family val="2"/>
    </font>
    <font>
      <sz val="8"/>
      <color rgb="FF000000"/>
      <name val="Lato"/>
      <family val="2"/>
    </font>
    <font>
      <b/>
      <sz val="8"/>
      <color theme="6" tint="0.79998168889431442"/>
      <name val="Lato"/>
      <family val="2"/>
    </font>
    <font>
      <b/>
      <sz val="8"/>
      <color theme="9" tint="0.79998168889431442"/>
      <name val="Lato"/>
      <family val="2"/>
    </font>
    <font>
      <sz val="8"/>
      <name val="Arial"/>
      <family val="2"/>
    </font>
    <font>
      <sz val="8"/>
      <color rgb="FF012169"/>
      <name val="Arial"/>
      <family val="2"/>
    </font>
    <font>
      <b/>
      <sz val="8"/>
      <color rgb="FF012169"/>
      <name val="Arial"/>
      <family val="2"/>
    </font>
    <font>
      <b/>
      <sz val="8"/>
      <name val="Late"/>
    </font>
    <font>
      <b/>
      <sz val="8"/>
      <color theme="1"/>
      <name val="Late"/>
    </font>
    <font>
      <sz val="8"/>
      <color theme="1"/>
      <name val="Late"/>
    </font>
    <font>
      <sz val="8"/>
      <name val="Late"/>
    </font>
    <font>
      <b/>
      <sz val="8"/>
      <color theme="9" tint="0.79998168889431442"/>
      <name val="Late"/>
    </font>
    <font>
      <b/>
      <sz val="8"/>
      <color theme="6" tint="0.79998168889431442"/>
      <name val="Late"/>
    </font>
    <font>
      <i/>
      <sz val="8"/>
      <color theme="1"/>
      <name val="Late"/>
    </font>
    <font>
      <b/>
      <sz val="8"/>
      <color theme="4"/>
      <name val="Late"/>
    </font>
    <font>
      <sz val="8"/>
      <color rgb="FF000000"/>
      <name val="Late"/>
    </font>
    <font>
      <b/>
      <sz val="8"/>
      <color theme="8" tint="0.79998168889431442"/>
      <name val="Late"/>
    </font>
    <font>
      <sz val="8"/>
      <color theme="1"/>
      <name val="Laot"/>
    </font>
    <font>
      <b/>
      <i/>
      <sz val="8"/>
      <color theme="1"/>
      <name val="Late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EFF2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499984740745262"/>
        <bgColor indexed="64"/>
      </patternFill>
    </fill>
  </fills>
  <borders count="5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theme="6" tint="-0.24994659260841701"/>
      </left>
      <right style="mediumDashDot">
        <color theme="6" tint="-0.24994659260841701"/>
      </right>
      <top style="medium">
        <color theme="6" tint="-0.24994659260841701"/>
      </top>
      <bottom style="dotted">
        <color theme="6" tint="-0.24994659260841701"/>
      </bottom>
      <diagonal/>
    </border>
    <border>
      <left style="mediumDashDot">
        <color theme="6" tint="-0.24994659260841701"/>
      </left>
      <right style="medium">
        <color theme="6" tint="-0.24994659260841701"/>
      </right>
      <top style="medium">
        <color theme="6" tint="-0.24994659260841701"/>
      </top>
      <bottom style="dotted">
        <color theme="6" tint="-0.24994659260841701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theme="6" tint="-0.24994659260841701"/>
      </left>
      <right style="mediumDashDot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 style="mediumDashDot">
        <color theme="6" tint="-0.24994659260841701"/>
      </left>
      <right style="medium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theme="6" tint="-0.24994659260841701"/>
      </left>
      <right style="mediumDashDot">
        <color theme="6" tint="-0.24994659260841701"/>
      </right>
      <top style="dotted">
        <color theme="6" tint="-0.24994659260841701"/>
      </top>
      <bottom style="medium">
        <color theme="6" tint="-0.24994659260841701"/>
      </bottom>
      <diagonal/>
    </border>
    <border>
      <left style="mediumDashDot">
        <color theme="6" tint="-0.24994659260841701"/>
      </left>
      <right style="medium">
        <color theme="6" tint="-0.24994659260841701"/>
      </right>
      <top style="dotted">
        <color theme="6" tint="-0.24994659260841701"/>
      </top>
      <bottom style="medium">
        <color theme="6" tint="-0.2499465926084170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ck">
        <color theme="6" tint="0.39994506668294322"/>
      </left>
      <right/>
      <top style="thin">
        <color theme="6" tint="0.39994506668294322"/>
      </top>
      <bottom style="dotted">
        <color theme="6" tint="0.39994506668294322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dotted">
        <color theme="6" tint="0.39994506668294322"/>
      </bottom>
      <diagonal/>
    </border>
    <border>
      <left style="thin">
        <color theme="6" tint="0.39994506668294322"/>
      </left>
      <right style="thick">
        <color theme="6" tint="0.39994506668294322"/>
      </right>
      <top style="thin">
        <color theme="6" tint="0.39994506668294322"/>
      </top>
      <bottom style="dotted">
        <color theme="6" tint="0.39994506668294322"/>
      </bottom>
      <diagonal/>
    </border>
    <border>
      <left style="thick">
        <color theme="6" tint="0.39994506668294322"/>
      </left>
      <right style="thin">
        <color theme="6" tint="0.39994506668294322"/>
      </right>
      <top style="dotted">
        <color theme="6" tint="0.39994506668294322"/>
      </top>
      <bottom style="dotted">
        <color theme="6" tint="0.399945066682943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6" tint="0.39994506668294322"/>
      </right>
      <top style="dotted">
        <color theme="6" tint="0.39994506668294322"/>
      </top>
      <bottom style="dotted">
        <color theme="6" tint="0.39994506668294322"/>
      </bottom>
      <diagonal/>
    </border>
    <border>
      <left style="thin">
        <color theme="6" tint="0.39994506668294322"/>
      </left>
      <right style="thick">
        <color theme="6" tint="0.39994506668294322"/>
      </right>
      <top style="dotted">
        <color theme="6" tint="0.39994506668294322"/>
      </top>
      <bottom style="dotted">
        <color theme="6" tint="0.39994506668294322"/>
      </bottom>
      <diagonal/>
    </border>
    <border>
      <left style="thick">
        <color theme="6" tint="0.39994506668294322"/>
      </left>
      <right/>
      <top style="dotted">
        <color theme="6" tint="0.39994506668294322"/>
      </top>
      <bottom style="dotted">
        <color theme="6" tint="0.39994506668294322"/>
      </bottom>
      <diagonal/>
    </border>
    <border>
      <left style="thick">
        <color theme="6" tint="0.39994506668294322"/>
      </left>
      <right style="thin">
        <color theme="6" tint="0.39994506668294322"/>
      </right>
      <top style="dotted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dotted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ck">
        <color theme="6" tint="0.39994506668294322"/>
      </right>
      <top style="dotted">
        <color theme="6" tint="0.39994506668294322"/>
      </top>
      <bottom style="thin">
        <color theme="6" tint="0.399945066682943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dotted">
        <color theme="6" tint="0.39994506668294322"/>
      </bottom>
      <diagonal/>
    </border>
    <border>
      <left/>
      <right style="thick">
        <color theme="6" tint="0.39994506668294322"/>
      </right>
      <top style="thin">
        <color theme="6" tint="0.39994506668294322"/>
      </top>
      <bottom style="dotted">
        <color theme="6" tint="0.39994506668294322"/>
      </bottom>
      <diagonal/>
    </border>
    <border>
      <left/>
      <right style="thick">
        <color theme="6" tint="0.39994506668294322"/>
      </right>
      <top style="dotted">
        <color theme="6" tint="0.39994506668294322"/>
      </top>
      <bottom style="dotted">
        <color theme="6" tint="0.39994506668294322"/>
      </bottom>
      <diagonal/>
    </border>
    <border>
      <left/>
      <right style="thick">
        <color theme="6" tint="0.39994506668294322"/>
      </right>
      <top style="dotted">
        <color theme="6" tint="0.39994506668294322"/>
      </top>
      <bottom style="thin">
        <color theme="6" tint="0.39994506668294322"/>
      </bottom>
      <diagonal/>
    </border>
    <border>
      <left style="thick">
        <color theme="6" tint="0.39994506668294322"/>
      </left>
      <right/>
      <top style="dotted">
        <color theme="6" tint="0.39994506668294322"/>
      </top>
      <bottom style="thin">
        <color theme="6" tint="0.399945066682943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6" tint="0.39994506668294322"/>
      </top>
      <bottom style="thin">
        <color theme="6" tint="0.399945066682943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theme="6" tint="0.39994506668294322"/>
      </left>
      <right style="thin">
        <color theme="6" tint="0.39994506668294322"/>
      </right>
      <top style="dotted">
        <color theme="6" tint="0.39994506668294322"/>
      </top>
      <bottom style="dotted">
        <color theme="6" tint="0.39991454817346722"/>
      </bottom>
      <diagonal/>
    </border>
    <border>
      <left style="thick">
        <color theme="6" tint="0.39994506668294322"/>
      </left>
      <right style="thin">
        <color theme="6" tint="0.39994506668294322"/>
      </right>
      <top style="dotted">
        <color theme="6" tint="0.39991454817346722"/>
      </top>
      <bottom style="dotted">
        <color theme="6" tint="0.39991454817346722"/>
      </bottom>
      <diagonal/>
    </border>
    <border>
      <left style="thick">
        <color theme="6" tint="0.39994506668294322"/>
      </left>
      <right style="thin">
        <color theme="6" tint="0.39994506668294322"/>
      </right>
      <top style="dotted">
        <color theme="6" tint="0.39991454817346722"/>
      </top>
      <bottom style="dotted">
        <color theme="6" tint="0.399945066682943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212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0" xfId="1" applyNumberFormat="1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 vertical="center"/>
    </xf>
    <xf numFmtId="0" fontId="11" fillId="0" borderId="0" xfId="0" applyFont="1"/>
    <xf numFmtId="0" fontId="12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left" vertical="center"/>
    </xf>
    <xf numFmtId="0" fontId="4" fillId="0" borderId="0" xfId="0" applyFont="1" applyAlignment="1" applyProtection="1">
      <alignment vertical="center"/>
      <protection locked="0"/>
    </xf>
    <xf numFmtId="164" fontId="4" fillId="0" borderId="0" xfId="0" applyNumberFormat="1" applyFont="1"/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49" fontId="4" fillId="0" borderId="0" xfId="0" applyNumberFormat="1" applyFont="1"/>
    <xf numFmtId="16" fontId="4" fillId="0" borderId="0" xfId="0" applyNumberFormat="1" applyFont="1"/>
    <xf numFmtId="0" fontId="10" fillId="0" borderId="0" xfId="0" applyFont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wrapText="1"/>
    </xf>
    <xf numFmtId="44" fontId="4" fillId="0" borderId="0" xfId="1" applyFont="1" applyFill="1" applyBorder="1" applyProtection="1"/>
    <xf numFmtId="0" fontId="7" fillId="0" borderId="0" xfId="0" applyFont="1" applyAlignment="1" applyProtection="1">
      <alignment horizontal="center"/>
      <protection locked="0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horizontal="left" vertical="center"/>
    </xf>
    <xf numFmtId="164" fontId="3" fillId="0" borderId="0" xfId="1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4" fontId="3" fillId="0" borderId="0" xfId="1" applyFont="1" applyFill="1" applyBorder="1" applyProtection="1"/>
    <xf numFmtId="164" fontId="3" fillId="0" borderId="0" xfId="0" applyNumberFormat="1" applyFont="1"/>
    <xf numFmtId="0" fontId="15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44" fontId="4" fillId="0" borderId="0" xfId="1" applyFont="1" applyFill="1" applyBorder="1"/>
    <xf numFmtId="44" fontId="4" fillId="0" borderId="0" xfId="0" applyNumberFormat="1" applyFont="1"/>
    <xf numFmtId="0" fontId="2" fillId="0" borderId="0" xfId="2"/>
    <xf numFmtId="0" fontId="2" fillId="3" borderId="0" xfId="2" applyFill="1"/>
    <xf numFmtId="44" fontId="2" fillId="3" borderId="0" xfId="2" applyNumberFormat="1" applyFill="1"/>
    <xf numFmtId="164" fontId="2" fillId="0" borderId="0" xfId="2" applyNumberFormat="1"/>
    <xf numFmtId="0" fontId="10" fillId="0" borderId="0" xfId="2" applyFont="1"/>
    <xf numFmtId="0" fontId="17" fillId="0" borderId="0" xfId="2" applyFont="1" applyAlignment="1">
      <alignment vertical="top"/>
    </xf>
    <xf numFmtId="0" fontId="11" fillId="0" borderId="0" xfId="2" applyFont="1"/>
    <xf numFmtId="0" fontId="2" fillId="0" borderId="0" xfId="2" applyAlignment="1" applyProtection="1">
      <alignment horizontal="center"/>
      <protection locked="0"/>
    </xf>
    <xf numFmtId="164" fontId="11" fillId="0" borderId="0" xfId="2" applyNumberFormat="1" applyFont="1"/>
    <xf numFmtId="164" fontId="18" fillId="0" borderId="0" xfId="3" applyNumberFormat="1" applyFont="1" applyFill="1" applyBorder="1" applyAlignment="1">
      <alignment vertical="top" wrapText="1"/>
    </xf>
    <xf numFmtId="44" fontId="18" fillId="0" borderId="0" xfId="3" applyFont="1" applyFill="1" applyBorder="1" applyAlignment="1">
      <alignment vertical="top" wrapText="1" indent="1"/>
    </xf>
    <xf numFmtId="164" fontId="0" fillId="0" borderId="0" xfId="3" applyNumberFormat="1" applyFont="1" applyFill="1" applyBorder="1" applyAlignment="1">
      <alignment vertical="top"/>
    </xf>
    <xf numFmtId="0" fontId="11" fillId="0" borderId="0" xfId="2" applyFont="1" applyAlignment="1">
      <alignment vertical="top" wrapText="1"/>
    </xf>
    <xf numFmtId="164" fontId="0" fillId="0" borderId="0" xfId="3" applyNumberFormat="1" applyFont="1" applyFill="1" applyBorder="1" applyAlignment="1"/>
    <xf numFmtId="0" fontId="2" fillId="0" borderId="0" xfId="2" applyAlignment="1">
      <alignment vertical="top"/>
    </xf>
    <xf numFmtId="0" fontId="11" fillId="0" borderId="36" xfId="2" applyFont="1" applyBorder="1"/>
    <xf numFmtId="44" fontId="11" fillId="0" borderId="3" xfId="3" applyFont="1" applyFill="1" applyBorder="1" applyAlignment="1">
      <alignment vertical="top" wrapText="1" indent="1"/>
    </xf>
    <xf numFmtId="164" fontId="11" fillId="0" borderId="5" xfId="3" applyNumberFormat="1" applyFont="1" applyFill="1" applyBorder="1"/>
    <xf numFmtId="0" fontId="2" fillId="0" borderId="0" xfId="2" applyAlignment="1">
      <alignment horizontal="center" vertical="center" wrapText="1"/>
    </xf>
    <xf numFmtId="0" fontId="2" fillId="0" borderId="0" xfId="2" applyAlignment="1">
      <alignment vertical="center" wrapText="1"/>
    </xf>
    <xf numFmtId="6" fontId="2" fillId="0" borderId="0" xfId="2" applyNumberFormat="1" applyAlignment="1">
      <alignment horizontal="right" wrapText="1"/>
    </xf>
    <xf numFmtId="6" fontId="2" fillId="0" borderId="0" xfId="2" applyNumberFormat="1" applyAlignment="1">
      <alignment horizontal="right"/>
    </xf>
    <xf numFmtId="44" fontId="0" fillId="0" borderId="0" xfId="3" applyFont="1"/>
    <xf numFmtId="165" fontId="7" fillId="0" borderId="0" xfId="2" applyNumberFormat="1" applyFont="1"/>
    <xf numFmtId="44" fontId="2" fillId="0" borderId="0" xfId="2" applyNumberFormat="1"/>
    <xf numFmtId="164" fontId="0" fillId="0" borderId="0" xfId="3" applyNumberFormat="1" applyFont="1" applyFill="1" applyBorder="1"/>
    <xf numFmtId="0" fontId="18" fillId="0" borderId="0" xfId="2" applyFont="1" applyAlignment="1">
      <alignment vertical="top" wrapText="1" indent="1"/>
    </xf>
    <xf numFmtId="0" fontId="19" fillId="0" borderId="0" xfId="2" applyFont="1" applyAlignment="1">
      <alignment horizontal="left" vertical="top" wrapText="1"/>
    </xf>
    <xf numFmtId="0" fontId="2" fillId="0" borderId="0" xfId="2" applyAlignment="1">
      <alignment horizontal="left" vertical="top"/>
    </xf>
    <xf numFmtId="8" fontId="2" fillId="0" borderId="0" xfId="2" applyNumberFormat="1" applyAlignment="1">
      <alignment vertical="center" wrapText="1"/>
    </xf>
    <xf numFmtId="0" fontId="2" fillId="7" borderId="36" xfId="2" applyFill="1" applyBorder="1" applyAlignment="1">
      <alignment vertical="center" wrapText="1"/>
    </xf>
    <xf numFmtId="0" fontId="2" fillId="7" borderId="5" xfId="2" applyFill="1" applyBorder="1" applyAlignment="1">
      <alignment vertical="center" wrapText="1"/>
    </xf>
    <xf numFmtId="0" fontId="2" fillId="7" borderId="6" xfId="2" applyFill="1" applyBorder="1" applyAlignment="1">
      <alignment vertical="center" wrapText="1"/>
    </xf>
    <xf numFmtId="8" fontId="2" fillId="7" borderId="45" xfId="2" applyNumberFormat="1" applyFill="1" applyBorder="1" applyAlignment="1">
      <alignment vertical="center" wrapText="1"/>
    </xf>
    <xf numFmtId="0" fontId="20" fillId="4" borderId="6" xfId="2" applyFont="1" applyFill="1" applyBorder="1" applyAlignment="1">
      <alignment horizontal="right" vertical="center"/>
    </xf>
    <xf numFmtId="0" fontId="22" fillId="3" borderId="0" xfId="2" applyFont="1" applyFill="1"/>
    <xf numFmtId="0" fontId="23" fillId="7" borderId="8" xfId="2" applyFont="1" applyFill="1" applyBorder="1" applyAlignment="1">
      <alignment horizontal="right" vertical="top" wrapText="1"/>
    </xf>
    <xf numFmtId="0" fontId="22" fillId="2" borderId="9" xfId="2" applyFont="1" applyFill="1" applyBorder="1" applyAlignment="1" applyProtection="1">
      <alignment horizontal="center"/>
      <protection locked="0"/>
    </xf>
    <xf numFmtId="0" fontId="22" fillId="2" borderId="10" xfId="2" applyFont="1" applyFill="1" applyBorder="1" applyAlignment="1" applyProtection="1">
      <alignment horizontal="center"/>
      <protection locked="0"/>
    </xf>
    <xf numFmtId="0" fontId="23" fillId="7" borderId="13" xfId="2" applyFont="1" applyFill="1" applyBorder="1" applyAlignment="1">
      <alignment horizontal="right" vertical="top" wrapText="1"/>
    </xf>
    <xf numFmtId="0" fontId="22" fillId="2" borderId="14" xfId="2" applyFont="1" applyFill="1" applyBorder="1" applyAlignment="1" applyProtection="1">
      <alignment horizontal="center"/>
      <protection locked="0"/>
    </xf>
    <xf numFmtId="0" fontId="22" fillId="2" borderId="15" xfId="2" applyFont="1" applyFill="1" applyBorder="1" applyAlignment="1" applyProtection="1">
      <alignment horizontal="center"/>
      <protection locked="0"/>
    </xf>
    <xf numFmtId="0" fontId="23" fillId="3" borderId="0" xfId="2" applyFont="1" applyFill="1" applyAlignment="1">
      <alignment horizontal="left" vertical="top" wrapText="1"/>
    </xf>
    <xf numFmtId="0" fontId="23" fillId="7" borderId="18" xfId="2" applyFont="1" applyFill="1" applyBorder="1" applyAlignment="1">
      <alignment horizontal="right" vertical="top" wrapText="1"/>
    </xf>
    <xf numFmtId="0" fontId="22" fillId="2" borderId="19" xfId="2" applyFont="1" applyFill="1" applyBorder="1" applyAlignment="1" applyProtection="1">
      <alignment horizontal="center"/>
      <protection locked="0"/>
    </xf>
    <xf numFmtId="0" fontId="22" fillId="2" borderId="20" xfId="2" applyFont="1" applyFill="1" applyBorder="1" applyAlignment="1" applyProtection="1">
      <alignment horizontal="center"/>
      <protection locked="0"/>
    </xf>
    <xf numFmtId="0" fontId="22" fillId="3" borderId="0" xfId="2" applyFont="1" applyFill="1" applyAlignment="1">
      <alignment horizontal="center"/>
    </xf>
    <xf numFmtId="0" fontId="23" fillId="3" borderId="0" xfId="2" applyFont="1" applyFill="1" applyAlignment="1">
      <alignment horizontal="right" vertical="top" wrapText="1"/>
    </xf>
    <xf numFmtId="0" fontId="23" fillId="3" borderId="0" xfId="2" applyFont="1" applyFill="1" applyAlignment="1">
      <alignment horizontal="left" vertical="center"/>
    </xf>
    <xf numFmtId="0" fontId="23" fillId="3" borderId="0" xfId="2" applyFont="1" applyFill="1" applyAlignment="1">
      <alignment horizontal="left"/>
    </xf>
    <xf numFmtId="0" fontId="20" fillId="3" borderId="0" xfId="2" applyFont="1" applyFill="1" applyAlignment="1">
      <alignment vertical="center"/>
    </xf>
    <xf numFmtId="44" fontId="22" fillId="3" borderId="0" xfId="3" applyFont="1" applyFill="1" applyProtection="1"/>
    <xf numFmtId="0" fontId="20" fillId="3" borderId="0" xfId="2" applyFont="1" applyFill="1" applyAlignment="1">
      <alignment wrapText="1"/>
    </xf>
    <xf numFmtId="164" fontId="22" fillId="2" borderId="23" xfId="3" applyNumberFormat="1" applyFont="1" applyFill="1" applyBorder="1" applyAlignment="1" applyProtection="1">
      <alignment horizontal="center" vertical="center"/>
      <protection locked="0"/>
    </xf>
    <xf numFmtId="0" fontId="22" fillId="8" borderId="24" xfId="2" applyFont="1" applyFill="1" applyBorder="1" applyAlignment="1" applyProtection="1">
      <alignment horizontal="center" vertical="center"/>
      <protection locked="0"/>
    </xf>
    <xf numFmtId="0" fontId="21" fillId="2" borderId="25" xfId="2" applyFont="1" applyFill="1" applyBorder="1" applyAlignment="1" applyProtection="1">
      <alignment horizontal="center"/>
      <protection locked="0"/>
    </xf>
    <xf numFmtId="0" fontId="21" fillId="2" borderId="26" xfId="2" applyFont="1" applyFill="1" applyBorder="1" applyAlignment="1" applyProtection="1">
      <alignment horizontal="center"/>
      <protection locked="0"/>
    </xf>
    <xf numFmtId="164" fontId="22" fillId="2" borderId="27" xfId="3" applyNumberFormat="1" applyFont="1" applyFill="1" applyBorder="1" applyAlignment="1" applyProtection="1">
      <alignment horizontal="center" vertical="center"/>
      <protection locked="0"/>
    </xf>
    <xf numFmtId="0" fontId="22" fillId="3" borderId="28" xfId="2" applyFont="1" applyFill="1" applyBorder="1" applyAlignment="1">
      <alignment horizontal="center" vertical="center"/>
    </xf>
    <xf numFmtId="44" fontId="22" fillId="2" borderId="29" xfId="3" applyFont="1" applyFill="1" applyBorder="1" applyProtection="1">
      <protection locked="0"/>
    </xf>
    <xf numFmtId="0" fontId="21" fillId="2" borderId="30" xfId="2" applyFont="1" applyFill="1" applyBorder="1" applyAlignment="1" applyProtection="1">
      <alignment horizontal="center"/>
      <protection locked="0"/>
    </xf>
    <xf numFmtId="0" fontId="22" fillId="3" borderId="1" xfId="2" applyFont="1" applyFill="1" applyBorder="1" applyAlignment="1">
      <alignment horizontal="center" vertical="center"/>
    </xf>
    <xf numFmtId="164" fontId="22" fillId="2" borderId="31" xfId="3" applyNumberFormat="1" applyFont="1" applyFill="1" applyBorder="1" applyAlignment="1" applyProtection="1">
      <alignment horizontal="center" vertical="center"/>
      <protection locked="0"/>
    </xf>
    <xf numFmtId="0" fontId="21" fillId="2" borderId="29" xfId="2" applyFont="1" applyFill="1" applyBorder="1" applyAlignment="1" applyProtection="1">
      <alignment horizontal="center"/>
      <protection locked="0"/>
    </xf>
    <xf numFmtId="164" fontId="22" fillId="2" borderId="27" xfId="2" applyNumberFormat="1" applyFont="1" applyFill="1" applyBorder="1" applyProtection="1">
      <protection locked="0"/>
    </xf>
    <xf numFmtId="0" fontId="22" fillId="3" borderId="2" xfId="2" applyFont="1" applyFill="1" applyBorder="1" applyAlignment="1">
      <alignment horizontal="center" vertical="center"/>
    </xf>
    <xf numFmtId="0" fontId="22" fillId="2" borderId="27" xfId="2" applyFont="1" applyFill="1" applyBorder="1" applyProtection="1">
      <protection locked="0"/>
    </xf>
    <xf numFmtId="0" fontId="22" fillId="7" borderId="0" xfId="2" applyFont="1" applyFill="1" applyAlignment="1">
      <alignment horizontal="left"/>
    </xf>
    <xf numFmtId="164" fontId="22" fillId="2" borderId="32" xfId="2" applyNumberFormat="1" applyFont="1" applyFill="1" applyBorder="1" applyProtection="1">
      <protection locked="0"/>
    </xf>
    <xf numFmtId="0" fontId="21" fillId="2" borderId="33" xfId="2" applyFont="1" applyFill="1" applyBorder="1" applyAlignment="1" applyProtection="1">
      <alignment horizontal="center"/>
      <protection locked="0"/>
    </xf>
    <xf numFmtId="0" fontId="21" fillId="2" borderId="34" xfId="2" applyFont="1" applyFill="1" applyBorder="1" applyAlignment="1" applyProtection="1">
      <alignment horizontal="center"/>
      <protection locked="0"/>
    </xf>
    <xf numFmtId="0" fontId="22" fillId="7" borderId="0" xfId="2" applyFont="1" applyFill="1" applyAlignment="1">
      <alignment horizontal="left" vertical="center"/>
    </xf>
    <xf numFmtId="0" fontId="20" fillId="7" borderId="0" xfId="2" applyFont="1" applyFill="1" applyAlignment="1">
      <alignment horizontal="left" vertical="center"/>
    </xf>
    <xf numFmtId="164" fontId="24" fillId="9" borderId="36" xfId="2" applyNumberFormat="1" applyFont="1" applyFill="1" applyBorder="1"/>
    <xf numFmtId="0" fontId="21" fillId="3" borderId="0" xfId="2" applyFont="1" applyFill="1" applyAlignment="1">
      <alignment horizontal="left" vertical="center"/>
    </xf>
    <xf numFmtId="0" fontId="25" fillId="3" borderId="0" xfId="2" applyFont="1" applyFill="1" applyAlignment="1">
      <alignment horizontal="left" vertical="center"/>
    </xf>
    <xf numFmtId="0" fontId="22" fillId="3" borderId="0" xfId="2" applyFont="1" applyFill="1" applyAlignment="1">
      <alignment horizontal="left" vertical="center"/>
    </xf>
    <xf numFmtId="0" fontId="22" fillId="3" borderId="0" xfId="2" applyFont="1" applyFill="1" applyAlignment="1">
      <alignment vertical="center"/>
    </xf>
    <xf numFmtId="0" fontId="26" fillId="3" borderId="0" xfId="2" applyFont="1" applyFill="1" applyAlignment="1">
      <alignment horizontal="left"/>
    </xf>
    <xf numFmtId="0" fontId="21" fillId="3" borderId="0" xfId="2" applyFont="1" applyFill="1" applyAlignment="1">
      <alignment vertical="center"/>
    </xf>
    <xf numFmtId="0" fontId="21" fillId="3" borderId="28" xfId="2" applyFont="1" applyFill="1" applyBorder="1" applyAlignment="1">
      <alignment horizontal="center" vertical="center"/>
    </xf>
    <xf numFmtId="0" fontId="27" fillId="3" borderId="0" xfId="2" applyFont="1" applyFill="1" applyAlignment="1">
      <alignment horizontal="left" vertical="center"/>
    </xf>
    <xf numFmtId="164" fontId="22" fillId="2" borderId="37" xfId="2" applyNumberFormat="1" applyFont="1" applyFill="1" applyBorder="1" applyProtection="1">
      <protection locked="0"/>
    </xf>
    <xf numFmtId="0" fontId="21" fillId="2" borderId="38" xfId="2" applyFont="1" applyFill="1" applyBorder="1" applyAlignment="1" applyProtection="1">
      <alignment horizontal="center"/>
      <protection locked="0"/>
    </xf>
    <xf numFmtId="0" fontId="21" fillId="3" borderId="0" xfId="2" applyFont="1" applyFill="1" applyAlignment="1">
      <alignment horizontal="center"/>
    </xf>
    <xf numFmtId="0" fontId="21" fillId="2" borderId="39" xfId="2" applyFont="1" applyFill="1" applyBorder="1" applyAlignment="1" applyProtection="1">
      <alignment horizontal="center"/>
      <protection locked="0"/>
    </xf>
    <xf numFmtId="0" fontId="21" fillId="2" borderId="40" xfId="2" applyFont="1" applyFill="1" applyBorder="1" applyAlignment="1" applyProtection="1">
      <alignment horizontal="center"/>
      <protection locked="0"/>
    </xf>
    <xf numFmtId="0" fontId="21" fillId="3" borderId="2" xfId="2" applyFont="1" applyFill="1" applyBorder="1" applyAlignment="1">
      <alignment horizontal="center" vertical="center"/>
    </xf>
    <xf numFmtId="164" fontId="22" fillId="2" borderId="37" xfId="3" applyNumberFormat="1" applyFont="1" applyFill="1" applyBorder="1" applyAlignment="1" applyProtection="1">
      <alignment horizontal="center" vertical="center"/>
      <protection locked="0"/>
    </xf>
    <xf numFmtId="164" fontId="22" fillId="2" borderId="32" xfId="3" applyNumberFormat="1" applyFont="1" applyFill="1" applyBorder="1" applyAlignment="1" applyProtection="1">
      <alignment horizontal="center" vertical="center"/>
      <protection locked="0"/>
    </xf>
    <xf numFmtId="164" fontId="22" fillId="2" borderId="25" xfId="3" applyNumberFormat="1" applyFont="1" applyFill="1" applyBorder="1" applyAlignment="1" applyProtection="1">
      <alignment horizontal="center" vertical="center"/>
      <protection locked="0"/>
    </xf>
    <xf numFmtId="164" fontId="22" fillId="2" borderId="29" xfId="3" applyNumberFormat="1" applyFont="1" applyFill="1" applyBorder="1" applyAlignment="1" applyProtection="1">
      <alignment horizontal="center" vertical="center"/>
      <protection locked="0"/>
    </xf>
    <xf numFmtId="164" fontId="22" fillId="2" borderId="46" xfId="3" applyNumberFormat="1" applyFont="1" applyFill="1" applyBorder="1" applyAlignment="1" applyProtection="1">
      <alignment horizontal="center" vertical="center"/>
      <protection locked="0"/>
    </xf>
    <xf numFmtId="44" fontId="22" fillId="3" borderId="0" xfId="3" applyFont="1" applyFill="1" applyBorder="1" applyProtection="1"/>
    <xf numFmtId="164" fontId="22" fillId="3" borderId="42" xfId="3" applyNumberFormat="1" applyFont="1" applyFill="1" applyBorder="1" applyAlignment="1" applyProtection="1">
      <alignment horizontal="center" vertical="center"/>
    </xf>
    <xf numFmtId="164" fontId="22" fillId="2" borderId="43" xfId="3" applyNumberFormat="1" applyFont="1" applyFill="1" applyBorder="1" applyAlignment="1" applyProtection="1">
      <alignment horizontal="center" vertical="center"/>
      <protection locked="0"/>
    </xf>
    <xf numFmtId="164" fontId="22" fillId="3" borderId="44" xfId="3" applyNumberFormat="1" applyFont="1" applyFill="1" applyBorder="1" applyAlignment="1" applyProtection="1">
      <alignment horizontal="center" vertical="center"/>
    </xf>
    <xf numFmtId="0" fontId="22" fillId="3" borderId="0" xfId="2" applyFont="1" applyFill="1" applyAlignment="1">
      <alignment horizontal="center" vertical="center"/>
    </xf>
    <xf numFmtId="164" fontId="22" fillId="2" borderId="41" xfId="3" applyNumberFormat="1" applyFont="1" applyFill="1" applyBorder="1" applyAlignment="1" applyProtection="1">
      <alignment horizontal="center" vertical="center"/>
      <protection locked="0"/>
    </xf>
    <xf numFmtId="0" fontId="22" fillId="3" borderId="0" xfId="2" applyFont="1" applyFill="1" applyAlignment="1">
      <alignment horizontal="left"/>
    </xf>
    <xf numFmtId="0" fontId="21" fillId="3" borderId="0" xfId="2" applyFont="1" applyFill="1"/>
    <xf numFmtId="0" fontId="21" fillId="3" borderId="0" xfId="2" applyFont="1" applyFill="1" applyAlignment="1">
      <alignment horizontal="center" vertical="center"/>
    </xf>
    <xf numFmtId="0" fontId="22" fillId="8" borderId="24" xfId="2" applyFont="1" applyFill="1" applyBorder="1" applyAlignment="1">
      <alignment horizontal="center" vertical="center"/>
    </xf>
    <xf numFmtId="44" fontId="29" fillId="10" borderId="0" xfId="2" applyNumberFormat="1" applyFont="1" applyFill="1"/>
    <xf numFmtId="164" fontId="22" fillId="3" borderId="0" xfId="3" applyNumberFormat="1" applyFont="1" applyFill="1" applyProtection="1"/>
    <xf numFmtId="0" fontId="23" fillId="3" borderId="0" xfId="2" applyFont="1" applyFill="1" applyAlignment="1">
      <alignment horizontal="left" vertical="top"/>
    </xf>
    <xf numFmtId="0" fontId="1" fillId="0" borderId="0" xfId="2" applyFont="1"/>
    <xf numFmtId="164" fontId="24" fillId="11" borderId="36" xfId="2" applyNumberFormat="1" applyFont="1" applyFill="1" applyBorder="1"/>
    <xf numFmtId="164" fontId="30" fillId="2" borderId="49" xfId="3" applyNumberFormat="1" applyFont="1" applyFill="1" applyBorder="1" applyAlignment="1" applyProtection="1">
      <alignment horizontal="center" vertical="center"/>
    </xf>
    <xf numFmtId="164" fontId="30" fillId="2" borderId="50" xfId="3" applyNumberFormat="1" applyFont="1" applyFill="1" applyBorder="1" applyAlignment="1" applyProtection="1">
      <alignment horizontal="center" vertical="center"/>
    </xf>
    <xf numFmtId="164" fontId="30" fillId="2" borderId="48" xfId="3" applyNumberFormat="1" applyFont="1" applyFill="1" applyBorder="1" applyAlignment="1" applyProtection="1">
      <alignment horizontal="center" vertical="center"/>
    </xf>
    <xf numFmtId="0" fontId="22" fillId="3" borderId="51" xfId="2" applyFont="1" applyFill="1" applyBorder="1" applyAlignment="1">
      <alignment horizontal="left" wrapText="1"/>
    </xf>
    <xf numFmtId="0" fontId="31" fillId="3" borderId="52" xfId="2" applyFont="1" applyFill="1" applyBorder="1" applyAlignment="1">
      <alignment horizontal="left"/>
    </xf>
    <xf numFmtId="0" fontId="21" fillId="3" borderId="52" xfId="2" applyFont="1" applyFill="1" applyBorder="1"/>
    <xf numFmtId="0" fontId="21" fillId="3" borderId="53" xfId="2" applyFont="1" applyFill="1" applyBorder="1" applyAlignment="1">
      <alignment horizontal="center" vertical="center"/>
    </xf>
    <xf numFmtId="44" fontId="22" fillId="3" borderId="52" xfId="3" applyFont="1" applyFill="1" applyBorder="1" applyProtection="1"/>
    <xf numFmtId="0" fontId="21" fillId="3" borderId="52" xfId="2" applyFont="1" applyFill="1" applyBorder="1" applyAlignment="1">
      <alignment horizontal="center"/>
    </xf>
    <xf numFmtId="0" fontId="22" fillId="3" borderId="47" xfId="2" applyFont="1" applyFill="1" applyBorder="1"/>
    <xf numFmtId="0" fontId="21" fillId="3" borderId="7" xfId="2" applyFont="1" applyFill="1" applyBorder="1" applyAlignment="1">
      <alignment horizontal="center"/>
    </xf>
    <xf numFmtId="0" fontId="2" fillId="3" borderId="35" xfId="2" applyFill="1" applyBorder="1"/>
    <xf numFmtId="0" fontId="24" fillId="11" borderId="54" xfId="2" applyFont="1" applyFill="1" applyBorder="1" applyAlignment="1">
      <alignment vertical="center"/>
    </xf>
    <xf numFmtId="0" fontId="24" fillId="11" borderId="45" xfId="2" applyFont="1" applyFill="1" applyBorder="1" applyAlignment="1">
      <alignment vertical="center"/>
    </xf>
    <xf numFmtId="0" fontId="2" fillId="11" borderId="54" xfId="2" applyFill="1" applyBorder="1"/>
    <xf numFmtId="0" fontId="2" fillId="3" borderId="45" xfId="2" applyFill="1" applyBorder="1"/>
    <xf numFmtId="164" fontId="24" fillId="11" borderId="6" xfId="2" applyNumberFormat="1" applyFont="1" applyFill="1" applyBorder="1"/>
    <xf numFmtId="164" fontId="2" fillId="0" borderId="0" xfId="1" applyNumberFormat="1" applyFont="1"/>
    <xf numFmtId="0" fontId="22" fillId="7" borderId="0" xfId="2" applyFont="1" applyFill="1"/>
    <xf numFmtId="0" fontId="20" fillId="0" borderId="0" xfId="2" applyFont="1" applyAlignment="1">
      <alignment vertical="center"/>
    </xf>
    <xf numFmtId="0" fontId="23" fillId="0" borderId="0" xfId="2" applyFont="1" applyAlignment="1">
      <alignment horizontal="left" vertical="top"/>
    </xf>
    <xf numFmtId="0" fontId="23" fillId="0" borderId="0" xfId="2" applyFont="1" applyAlignment="1">
      <alignment horizontal="left" vertical="top" wrapText="1"/>
    </xf>
    <xf numFmtId="44" fontId="22" fillId="0" borderId="0" xfId="3" applyFont="1" applyFill="1" applyBorder="1" applyProtection="1"/>
    <xf numFmtId="164" fontId="22" fillId="0" borderId="0" xfId="3" applyNumberFormat="1" applyFont="1" applyFill="1" applyBorder="1" applyAlignment="1" applyProtection="1">
      <alignment horizontal="center" vertical="center"/>
      <protection locked="0"/>
    </xf>
    <xf numFmtId="0" fontId="22" fillId="0" borderId="0" xfId="2" applyFont="1" applyAlignment="1" applyProtection="1">
      <alignment horizontal="center" vertical="center"/>
      <protection locked="0"/>
    </xf>
    <xf numFmtId="0" fontId="22" fillId="0" borderId="0" xfId="2" applyFont="1" applyAlignment="1">
      <alignment horizontal="center" vertical="center"/>
    </xf>
    <xf numFmtId="164" fontId="22" fillId="0" borderId="0" xfId="2" applyNumberFormat="1" applyFont="1" applyProtection="1">
      <protection locked="0"/>
    </xf>
    <xf numFmtId="0" fontId="22" fillId="0" borderId="0" xfId="2" applyFont="1" applyProtection="1">
      <protection locked="0"/>
    </xf>
    <xf numFmtId="0" fontId="32" fillId="0" borderId="0" xfId="0" applyFont="1"/>
    <xf numFmtId="4" fontId="0" fillId="0" borderId="0" xfId="0" applyNumberFormat="1"/>
    <xf numFmtId="22" fontId="0" fillId="0" borderId="0" xfId="0" applyNumberFormat="1"/>
    <xf numFmtId="0" fontId="22" fillId="7" borderId="44" xfId="2" applyFont="1" applyFill="1" applyBorder="1" applyAlignment="1">
      <alignment horizontal="right"/>
    </xf>
    <xf numFmtId="0" fontId="22" fillId="7" borderId="0" xfId="2" applyFont="1" applyFill="1" applyAlignment="1">
      <alignment horizontal="right"/>
    </xf>
    <xf numFmtId="0" fontId="22" fillId="7" borderId="0" xfId="2" applyFont="1" applyFill="1" applyAlignment="1">
      <alignment horizontal="left"/>
    </xf>
    <xf numFmtId="0" fontId="29" fillId="10" borderId="0" xfId="2" applyFont="1" applyFill="1" applyAlignment="1">
      <alignment horizontal="center" vertical="center"/>
    </xf>
    <xf numFmtId="0" fontId="16" fillId="9" borderId="0" xfId="2" applyFont="1" applyFill="1" applyAlignment="1">
      <alignment horizontal="center" vertical="center"/>
    </xf>
    <xf numFmtId="0" fontId="22" fillId="7" borderId="7" xfId="2" applyFont="1" applyFill="1" applyBorder="1" applyAlignment="1">
      <alignment horizontal="left"/>
    </xf>
    <xf numFmtId="0" fontId="24" fillId="9" borderId="35" xfId="2" applyFont="1" applyFill="1" applyBorder="1" applyAlignment="1">
      <alignment horizontal="center" vertical="center"/>
    </xf>
    <xf numFmtId="0" fontId="24" fillId="9" borderId="5" xfId="2" applyFont="1" applyFill="1" applyBorder="1" applyAlignment="1">
      <alignment horizontal="center" vertical="center"/>
    </xf>
    <xf numFmtId="0" fontId="28" fillId="7" borderId="0" xfId="2" applyFont="1" applyFill="1" applyAlignment="1">
      <alignment horizontal="left"/>
    </xf>
    <xf numFmtId="0" fontId="23" fillId="7" borderId="0" xfId="2" applyFont="1" applyFill="1" applyAlignment="1">
      <alignment horizontal="left"/>
    </xf>
    <xf numFmtId="44" fontId="23" fillId="7" borderId="0" xfId="3" applyFont="1" applyFill="1" applyAlignment="1" applyProtection="1">
      <alignment horizontal="left"/>
    </xf>
    <xf numFmtId="44" fontId="23" fillId="7" borderId="0" xfId="3" applyFont="1" applyFill="1" applyBorder="1" applyAlignment="1" applyProtection="1">
      <alignment horizontal="left"/>
    </xf>
    <xf numFmtId="0" fontId="22" fillId="3" borderId="3" xfId="2" applyFont="1" applyFill="1" applyBorder="1" applyAlignment="1">
      <alignment horizontal="center"/>
    </xf>
    <xf numFmtId="0" fontId="22" fillId="3" borderId="4" xfId="2" applyFont="1" applyFill="1" applyBorder="1" applyAlignment="1">
      <alignment horizontal="center"/>
    </xf>
    <xf numFmtId="0" fontId="22" fillId="3" borderId="5" xfId="2" applyFont="1" applyFill="1" applyBorder="1" applyAlignment="1">
      <alignment horizontal="center"/>
    </xf>
    <xf numFmtId="0" fontId="21" fillId="5" borderId="0" xfId="2" applyFont="1" applyFill="1" applyAlignment="1">
      <alignment horizontal="center"/>
    </xf>
    <xf numFmtId="0" fontId="21" fillId="5" borderId="7" xfId="2" applyFont="1" applyFill="1" applyBorder="1" applyAlignment="1">
      <alignment horizontal="center"/>
    </xf>
    <xf numFmtId="0" fontId="20" fillId="6" borderId="3" xfId="2" applyFont="1" applyFill="1" applyBorder="1" applyAlignment="1">
      <alignment horizontal="left"/>
    </xf>
    <xf numFmtId="0" fontId="20" fillId="6" borderId="5" xfId="2" applyFont="1" applyFill="1" applyBorder="1" applyAlignment="1">
      <alignment horizontal="left"/>
    </xf>
    <xf numFmtId="0" fontId="22" fillId="7" borderId="11" xfId="2" applyFont="1" applyFill="1" applyBorder="1" applyAlignment="1">
      <alignment horizontal="left"/>
    </xf>
    <xf numFmtId="0" fontId="22" fillId="7" borderId="12" xfId="2" applyFont="1" applyFill="1" applyBorder="1" applyAlignment="1">
      <alignment horizontal="left"/>
    </xf>
    <xf numFmtId="0" fontId="23" fillId="7" borderId="16" xfId="2" applyFont="1" applyFill="1" applyBorder="1" applyAlignment="1">
      <alignment horizontal="left" vertical="top" wrapText="1"/>
    </xf>
    <xf numFmtId="0" fontId="23" fillId="7" borderId="17" xfId="2" applyFont="1" applyFill="1" applyBorder="1" applyAlignment="1">
      <alignment horizontal="left" vertical="top" wrapText="1"/>
    </xf>
    <xf numFmtId="0" fontId="23" fillId="3" borderId="47" xfId="2" applyFont="1" applyFill="1" applyBorder="1" applyAlignment="1">
      <alignment horizontal="center" vertical="center" wrapText="1"/>
    </xf>
    <xf numFmtId="0" fontId="23" fillId="3" borderId="7" xfId="2" applyFont="1" applyFill="1" applyBorder="1" applyAlignment="1">
      <alignment horizontal="center" vertical="center" wrapText="1"/>
    </xf>
    <xf numFmtId="0" fontId="23" fillId="7" borderId="21" xfId="2" applyFont="1" applyFill="1" applyBorder="1" applyAlignment="1">
      <alignment horizontal="left" vertical="top" wrapText="1"/>
    </xf>
    <xf numFmtId="0" fontId="23" fillId="7" borderId="22" xfId="2" applyFont="1" applyFill="1" applyBorder="1" applyAlignment="1">
      <alignment horizontal="left" vertical="top" wrapText="1"/>
    </xf>
    <xf numFmtId="164" fontId="30" fillId="3" borderId="0" xfId="3" applyNumberFormat="1" applyFont="1" applyFill="1" applyBorder="1" applyAlignment="1" applyProtection="1">
      <alignment horizontal="center" vertical="center"/>
    </xf>
    <xf numFmtId="44" fontId="22" fillId="3" borderId="0" xfId="3" applyFont="1" applyFill="1" applyBorder="1" applyAlignment="1" applyProtection="1">
      <alignment horizontal="center"/>
    </xf>
    <xf numFmtId="0" fontId="23" fillId="0" borderId="0" xfId="2" applyFont="1" applyAlignment="1">
      <alignment horizontal="left"/>
    </xf>
    <xf numFmtId="44" fontId="23" fillId="0" borderId="0" xfId="3" applyFont="1" applyFill="1" applyBorder="1" applyAlignment="1" applyProtection="1">
      <alignment horizontal="left"/>
    </xf>
    <xf numFmtId="0" fontId="22" fillId="0" borderId="0" xfId="2" applyFont="1" applyAlignment="1">
      <alignment horizontal="left"/>
    </xf>
  </cellXfs>
  <cellStyles count="4">
    <cellStyle name="Standaard" xfId="0" builtinId="0"/>
    <cellStyle name="Standaard 2" xfId="2" xr:uid="{A6429CD6-E1B6-49F1-8681-6C88F7483123}"/>
    <cellStyle name="Valuta" xfId="1" builtinId="4"/>
    <cellStyle name="Valuta 2" xfId="3" xr:uid="{620E6177-14C7-464F-8600-1F41DAA7D626}"/>
  </cellStyles>
  <dxfs count="10">
    <dxf>
      <fill>
        <patternFill patternType="lightGrid">
          <fgColor theme="1" tint="0.14996795556505021"/>
          <bgColor rgb="FFFFC000"/>
        </patternFill>
      </fill>
      <border>
        <bottom/>
        <vertical/>
        <horizontal/>
      </border>
    </dxf>
    <dxf>
      <fill>
        <patternFill patternType="lightGrid">
          <fgColor theme="1" tint="0.14996795556505021"/>
          <bgColor rgb="FFFFC000"/>
        </patternFill>
      </fill>
      <border>
        <bottom/>
        <vertical/>
        <horizontal/>
      </border>
    </dxf>
    <dxf>
      <fill>
        <patternFill patternType="lightGrid">
          <fgColor theme="1" tint="0.14996795556505021"/>
          <bgColor rgb="FFFFC000"/>
        </patternFill>
      </fill>
      <border>
        <bottom/>
        <vertical/>
        <horizontal/>
      </border>
    </dxf>
    <dxf>
      <fill>
        <patternFill patternType="lightGrid">
          <fgColor theme="1" tint="0.14996795556505021"/>
          <bgColor rgb="FFFFC000"/>
        </patternFill>
      </fill>
      <border>
        <bottom/>
        <vertical/>
        <horizontal/>
      </border>
    </dxf>
    <dxf>
      <font>
        <color theme="0"/>
      </font>
      <numFmt numFmtId="30" formatCode="@"/>
      <border>
        <left/>
        <right/>
        <top/>
        <bottom/>
      </border>
    </dxf>
    <dxf>
      <font>
        <color theme="8" tint="0.79998168889431442"/>
      </font>
      <fill>
        <patternFill>
          <bgColor rgb="FFC00000"/>
        </patternFill>
      </fill>
    </dxf>
    <dxf>
      <font>
        <color theme="6" tint="0.79998168889431442"/>
      </font>
      <fill>
        <patternFill>
          <bgColor theme="9" tint="-0.499984740745262"/>
        </patternFill>
      </fill>
    </dxf>
    <dxf>
      <numFmt numFmtId="164" formatCode="&quot;€&quot;\ #,##0.00"/>
    </dxf>
    <dxf>
      <numFmt numFmtId="19" formatCode="d/m/yyyy"/>
    </dxf>
    <dxf>
      <numFmt numFmtId="19" formatCode="d/m/yyyy"/>
    </dxf>
  </dxfs>
  <tableStyles count="0" defaultTableStyle="TableStyleMedium9" defaultPivotStyle="PivotStyleLight16"/>
  <colors>
    <mruColors>
      <color rgb="FFC1CDFF"/>
      <color rgb="FF514AC9"/>
      <color rgb="FFEFF2FF"/>
      <color rgb="FFDAE2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361950</xdr:colOff>
          <xdr:row>3</xdr:row>
          <xdr:rowOff>88900</xdr:rowOff>
        </xdr:from>
        <xdr:to>
          <xdr:col>12</xdr:col>
          <xdr:colOff>165100</xdr:colOff>
          <xdr:row>7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Formulier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dagelijkse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uitgaven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361950</xdr:colOff>
      <xdr:row>17</xdr:row>
      <xdr:rowOff>69850</xdr:rowOff>
    </xdr:from>
    <xdr:to>
      <xdr:col>10</xdr:col>
      <xdr:colOff>469900</xdr:colOff>
      <xdr:row>23</xdr:row>
      <xdr:rowOff>107950</xdr:rowOff>
    </xdr:to>
    <xdr:sp macro="[0]!Rechthoekafgerondehoeken1_Klikken" textlink="">
      <xdr:nvSpPr>
        <xdr:cNvPr id="2" name="Rechthoek: afgeronde hoeken 1">
          <a:extLst>
            <a:ext uri="{FF2B5EF4-FFF2-40B4-BE49-F238E27FC236}">
              <a16:creationId xmlns:a16="http://schemas.microsoft.com/office/drawing/2014/main" id="{B8DBD140-AF53-9F26-EF0F-91D172E61746}"/>
            </a:ext>
          </a:extLst>
        </xdr:cNvPr>
        <xdr:cNvSpPr/>
      </xdr:nvSpPr>
      <xdr:spPr>
        <a:xfrm>
          <a:off x="7086600" y="2946400"/>
          <a:ext cx="1936750" cy="1035050"/>
        </a:xfrm>
        <a:prstGeom prst="roundRect">
          <a:avLst/>
        </a:prstGeom>
        <a:solidFill>
          <a:srgbClr val="DAE2FE"/>
        </a:solidFill>
        <a:ln w="66675">
          <a:solidFill>
            <a:srgbClr val="514A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600" b="1">
              <a:ln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Neue Haas Grotesk Text Pro" panose="020B0504020202020204" pitchFamily="34" charset="0"/>
            </a:rPr>
            <a:t>Naar Invulformulier gaan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107950</xdr:colOff>
      <xdr:row>11</xdr:row>
      <xdr:rowOff>63500</xdr:rowOff>
    </xdr:from>
    <xdr:to>
      <xdr:col>21</xdr:col>
      <xdr:colOff>158750</xdr:colOff>
      <xdr:row>34</xdr:row>
      <xdr:rowOff>114300</xdr:rowOff>
    </xdr:to>
    <xdr:pic>
      <xdr:nvPicPr>
        <xdr:cNvPr id="12" name="bg_frmInvoer_landscape">
          <a:extLst>
            <a:ext uri="{FF2B5EF4-FFF2-40B4-BE49-F238E27FC236}">
              <a16:creationId xmlns:a16="http://schemas.microsoft.com/office/drawing/2014/main" id="{49922E41-08CB-9679-15EF-25DD77BD1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8400" y="2089150"/>
          <a:ext cx="7620000" cy="4286250"/>
        </a:xfrm>
        <a:prstGeom prst="rect">
          <a:avLst/>
        </a:prstGeom>
      </xdr:spPr>
    </xdr:pic>
    <xdr:clientData/>
  </xdr:twoCellAnchor>
  <xdr:twoCellAnchor>
    <xdr:from>
      <xdr:col>4</xdr:col>
      <xdr:colOff>139700</xdr:colOff>
      <xdr:row>6</xdr:row>
      <xdr:rowOff>0</xdr:rowOff>
    </xdr:from>
    <xdr:to>
      <xdr:col>5</xdr:col>
      <xdr:colOff>514350</xdr:colOff>
      <xdr:row>7</xdr:row>
      <xdr:rowOff>171450</xdr:rowOff>
    </xdr:to>
    <xdr:sp macro="" textlink="">
      <xdr:nvSpPr>
        <xdr:cNvPr id="6" name="btnShapeMedium">
          <a:extLst>
            <a:ext uri="{FF2B5EF4-FFF2-40B4-BE49-F238E27FC236}">
              <a16:creationId xmlns:a16="http://schemas.microsoft.com/office/drawing/2014/main" id="{F724E0AD-3B0D-29E2-E37D-49BC23BCD38C}"/>
            </a:ext>
          </a:extLst>
        </xdr:cNvPr>
        <xdr:cNvSpPr/>
      </xdr:nvSpPr>
      <xdr:spPr>
        <a:xfrm>
          <a:off x="3251200" y="1104900"/>
          <a:ext cx="1016000" cy="355600"/>
        </a:xfrm>
        <a:prstGeom prst="roundRect">
          <a:avLst>
            <a:gd name="adj" fmla="val 50000"/>
          </a:avLst>
        </a:prstGeom>
        <a:solidFill>
          <a:srgbClr val="EFF2FF"/>
        </a:solidFill>
        <a:ln w="25400">
          <a:solidFill>
            <a:srgbClr val="514A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44450</xdr:colOff>
      <xdr:row>9</xdr:row>
      <xdr:rowOff>120650</xdr:rowOff>
    </xdr:from>
    <xdr:to>
      <xdr:col>6</xdr:col>
      <xdr:colOff>63500</xdr:colOff>
      <xdr:row>11</xdr:row>
      <xdr:rowOff>107950</xdr:rowOff>
    </xdr:to>
    <xdr:sp macro="" textlink="">
      <xdr:nvSpPr>
        <xdr:cNvPr id="9" name="btnShapeLarge">
          <a:extLst>
            <a:ext uri="{FF2B5EF4-FFF2-40B4-BE49-F238E27FC236}">
              <a16:creationId xmlns:a16="http://schemas.microsoft.com/office/drawing/2014/main" id="{71E835E6-05B4-441B-BDB0-495854ACB96D}"/>
            </a:ext>
          </a:extLst>
        </xdr:cNvPr>
        <xdr:cNvSpPr/>
      </xdr:nvSpPr>
      <xdr:spPr>
        <a:xfrm>
          <a:off x="3155950" y="1778000"/>
          <a:ext cx="1270000" cy="355600"/>
        </a:xfrm>
        <a:prstGeom prst="roundRect">
          <a:avLst>
            <a:gd name="adj" fmla="val 50000"/>
          </a:avLst>
        </a:prstGeom>
        <a:solidFill>
          <a:srgbClr val="EFF2FF"/>
        </a:solidFill>
        <a:ln w="25400">
          <a:solidFill>
            <a:srgbClr val="514A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146050</xdr:colOff>
      <xdr:row>1</xdr:row>
      <xdr:rowOff>177800</xdr:rowOff>
    </xdr:from>
    <xdr:to>
      <xdr:col>7</xdr:col>
      <xdr:colOff>501650</xdr:colOff>
      <xdr:row>3</xdr:row>
      <xdr:rowOff>165100</xdr:rowOff>
    </xdr:to>
    <xdr:sp macro="" textlink="">
      <xdr:nvSpPr>
        <xdr:cNvPr id="2" name="btnShapeSmall_hover">
          <a:extLst>
            <a:ext uri="{FF2B5EF4-FFF2-40B4-BE49-F238E27FC236}">
              <a16:creationId xmlns:a16="http://schemas.microsoft.com/office/drawing/2014/main" id="{7DBD4484-D210-4424-9FE2-2C368C581B73}"/>
            </a:ext>
          </a:extLst>
        </xdr:cNvPr>
        <xdr:cNvSpPr/>
      </xdr:nvSpPr>
      <xdr:spPr>
        <a:xfrm>
          <a:off x="5118100" y="361950"/>
          <a:ext cx="355600" cy="355600"/>
        </a:xfrm>
        <a:prstGeom prst="roundRect">
          <a:avLst>
            <a:gd name="adj" fmla="val 25000"/>
          </a:avLst>
        </a:prstGeom>
        <a:solidFill>
          <a:srgbClr val="C1CDFF"/>
        </a:solidFill>
        <a:ln w="31750">
          <a:solidFill>
            <a:srgbClr val="514AC9"/>
          </a:solidFill>
        </a:ln>
        <a:effectLst>
          <a:glow rad="508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260350</xdr:colOff>
      <xdr:row>9</xdr:row>
      <xdr:rowOff>133350</xdr:rowOff>
    </xdr:from>
    <xdr:to>
      <xdr:col>8</xdr:col>
      <xdr:colOff>311150</xdr:colOff>
      <xdr:row>11</xdr:row>
      <xdr:rowOff>120650</xdr:rowOff>
    </xdr:to>
    <xdr:sp macro="" textlink="">
      <xdr:nvSpPr>
        <xdr:cNvPr id="4" name="btnShapeLarge_hover">
          <a:extLst>
            <a:ext uri="{FF2B5EF4-FFF2-40B4-BE49-F238E27FC236}">
              <a16:creationId xmlns:a16="http://schemas.microsoft.com/office/drawing/2014/main" id="{5942A03E-7814-49F1-9D69-1BFC12E3546D}"/>
            </a:ext>
          </a:extLst>
        </xdr:cNvPr>
        <xdr:cNvSpPr/>
      </xdr:nvSpPr>
      <xdr:spPr>
        <a:xfrm>
          <a:off x="4622800" y="1790700"/>
          <a:ext cx="1270000" cy="355600"/>
        </a:xfrm>
        <a:prstGeom prst="roundRect">
          <a:avLst>
            <a:gd name="adj" fmla="val 50000"/>
          </a:avLst>
        </a:prstGeom>
        <a:solidFill>
          <a:srgbClr val="C1CDFF"/>
        </a:solidFill>
        <a:ln w="31750">
          <a:solidFill>
            <a:srgbClr val="514AC9">
              <a:alpha val="90000"/>
            </a:srgbClr>
          </a:solidFill>
        </a:ln>
        <a:effectLst>
          <a:glow rad="508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495300</xdr:colOff>
      <xdr:row>2</xdr:row>
      <xdr:rowOff>25400</xdr:rowOff>
    </xdr:from>
    <xdr:to>
      <xdr:col>5</xdr:col>
      <xdr:colOff>209550</xdr:colOff>
      <xdr:row>4</xdr:row>
      <xdr:rowOff>12700</xdr:rowOff>
    </xdr:to>
    <xdr:sp macro="" textlink="">
      <xdr:nvSpPr>
        <xdr:cNvPr id="11" name="btnShapeSmall">
          <a:extLst>
            <a:ext uri="{FF2B5EF4-FFF2-40B4-BE49-F238E27FC236}">
              <a16:creationId xmlns:a16="http://schemas.microsoft.com/office/drawing/2014/main" id="{6987CC4B-4579-40E0-83A3-5DCDB846F677}"/>
            </a:ext>
          </a:extLst>
        </xdr:cNvPr>
        <xdr:cNvSpPr/>
      </xdr:nvSpPr>
      <xdr:spPr>
        <a:xfrm>
          <a:off x="3606800" y="393700"/>
          <a:ext cx="355600" cy="355600"/>
        </a:xfrm>
        <a:prstGeom prst="roundRect">
          <a:avLst>
            <a:gd name="adj" fmla="val 28571"/>
          </a:avLst>
        </a:prstGeom>
        <a:solidFill>
          <a:srgbClr val="EFF2FF"/>
        </a:solidFill>
        <a:ln w="25400">
          <a:solidFill>
            <a:srgbClr val="514A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406400</xdr:colOff>
      <xdr:row>5</xdr:row>
      <xdr:rowOff>57150</xdr:rowOff>
    </xdr:from>
    <xdr:to>
      <xdr:col>8</xdr:col>
      <xdr:colOff>203200</xdr:colOff>
      <xdr:row>7</xdr:row>
      <xdr:rowOff>44450</xdr:rowOff>
    </xdr:to>
    <xdr:sp macro="" textlink="">
      <xdr:nvSpPr>
        <xdr:cNvPr id="13" name="btnShapeMedium_hover">
          <a:extLst>
            <a:ext uri="{FF2B5EF4-FFF2-40B4-BE49-F238E27FC236}">
              <a16:creationId xmlns:a16="http://schemas.microsoft.com/office/drawing/2014/main" id="{A783E70A-EA69-4FDD-AC40-1A8F9A9E1C5D}"/>
            </a:ext>
          </a:extLst>
        </xdr:cNvPr>
        <xdr:cNvSpPr/>
      </xdr:nvSpPr>
      <xdr:spPr>
        <a:xfrm>
          <a:off x="4768850" y="977900"/>
          <a:ext cx="1016000" cy="355600"/>
        </a:xfrm>
        <a:prstGeom prst="roundRect">
          <a:avLst>
            <a:gd name="adj" fmla="val 50000"/>
          </a:avLst>
        </a:prstGeom>
        <a:solidFill>
          <a:srgbClr val="C1CDFF"/>
        </a:solidFill>
        <a:ln w="31750">
          <a:solidFill>
            <a:srgbClr val="514AC9">
              <a:alpha val="90000"/>
            </a:srgbClr>
          </a:solidFill>
        </a:ln>
        <a:effectLst>
          <a:glow rad="508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538F57-4684-4D06-98C5-60F63C770D2B}" name="tblCategorieen" displayName="tblCategorieen" ref="A59:A73" totalsRowShown="0">
  <autoFilter ref="A59:A73" xr:uid="{75538F57-4684-4D06-98C5-60F63C770D2B}"/>
  <sortState xmlns:xlrd2="http://schemas.microsoft.com/office/spreadsheetml/2017/richdata2" ref="A60:A69">
    <sortCondition ref="A59:A69"/>
  </sortState>
  <tableColumns count="1">
    <tableColumn id="1" xr3:uid="{D85FE78E-30EE-4D19-8FF9-5E84E35D58E0}" name="Categori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4A663F3-CA9B-44D1-8FEE-5A6D798BFCDF}" name="tbl" displayName="tbl" ref="C59:D85" totalsRowShown="0">
  <autoFilter ref="C59:D85" xr:uid="{14A663F3-CA9B-44D1-8FEE-5A6D798BFCDF}"/>
  <sortState xmlns:xlrd2="http://schemas.microsoft.com/office/spreadsheetml/2017/richdata2" ref="C60:D85">
    <sortCondition ref="C59:C85"/>
  </sortState>
  <tableColumns count="2">
    <tableColumn id="1" xr3:uid="{C63D219B-887C-41F9-909B-27E8266DB3D3}" name="Categorie"/>
    <tableColumn id="2" xr3:uid="{2B5B7323-785B-4A19-92F2-57ACFEE3ADC3}" name="Subcategori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F1F256-1351-4623-A424-5FACC568BDEB}" name="tblSubcategorieen" displayName="tblSubcategorieen" ref="C1:D7" totalsRowShown="0">
  <autoFilter ref="C1:D7" xr:uid="{3DF1F256-1351-4623-A424-5FACC568BDEB}"/>
  <tableColumns count="2">
    <tableColumn id="1" xr3:uid="{42EEB712-5490-4024-9960-D9E74505FAC7}" name="Categorie"/>
    <tableColumn id="2" xr3:uid="{5CF74C30-862D-44AB-852D-9D2523CFE042}" name="Subcategori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A77F4DE-3809-4B0F-91F3-89B7FFBEB345}" name="tblLayoutSpecs" displayName="tblLayoutSpecs" ref="K1:S8" totalsRowShown="0">
  <autoFilter ref="K1:S8" xr:uid="{8A77F4DE-3809-4B0F-91F3-89B7FFBEB345}"/>
  <tableColumns count="9">
    <tableColumn id="1" xr3:uid="{1E2CFD7B-98D8-4498-82C3-87C64878DF8C}" name="Key "/>
    <tableColumn id="2" xr3:uid="{D4D9E911-3E31-4735-98FC-535136CC8DFB}" name=" ShapeName "/>
    <tableColumn id="3" xr3:uid="{D3267AC9-E5D5-4F18-81EE-490A9662E317}" name=" Width "/>
    <tableColumn id="4" xr3:uid="{DFB33CEC-3924-4D8A-ACB5-918F4179353F}" name=" Height "/>
    <tableColumn id="5" xr3:uid="{3A6081E7-B7C0-4A05-AE6A-2AE027CCD558}" name=" X "/>
    <tableColumn id="6" xr3:uid="{710E979B-8316-4957-AFA1-1A9B1C0D1ED7}" name=" Y "/>
    <tableColumn id="7" xr3:uid="{1A46E2BA-79C1-4B6D-8553-DA1D5AE5FA3B}" name=" DefaultColor "/>
    <tableColumn id="8" xr3:uid="{C662219A-D70F-4FDC-8946-6B38D3115E27}" name=" HoverColor "/>
    <tableColumn id="9" xr3:uid="{B5BE51DE-10E3-45AE-998B-81643C04D049}" name=" Note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A8479E-22A9-4A1E-B21D-BB5281CAC385}" name="Tabel1" displayName="Tabel1" ref="A1:K4" totalsRowShown="0">
  <autoFilter ref="A1:K4" xr:uid="{92A8479E-22A9-4A1E-B21D-BB5281CAC385}"/>
  <tableColumns count="11">
    <tableColumn id="1" xr3:uid="{3C3D35E9-2535-46A6-BC16-5D511ADF9633}" name="Datum" dataDxfId="9"/>
    <tableColumn id="6" xr3:uid="{01A36780-D397-44C0-A475-1FF58514B69F}" name="Maand" dataDxfId="8"/>
    <tableColumn id="2" xr3:uid="{9D792A1D-A1E3-42BB-B9AE-26321BDB7239}" name="Wknr"/>
    <tableColumn id="3" xr3:uid="{201D4D46-A23B-442F-BB17-7F0CE2463232}" name="Dag"/>
    <tableColumn id="4" xr3:uid="{C7355510-0F18-411C-8882-97A4C2F4A10F}" name="Categorie"/>
    <tableColumn id="5" xr3:uid="{6771D770-D13D-411D-8C4D-1D5C8CE5B42B}" name="Bedrag" dataDxfId="7"/>
    <tableColumn id="7" xr3:uid="{23B7BD60-D27B-40CC-B432-D818A24B9E92}" name="BtlWijz"/>
    <tableColumn id="8" xr3:uid="{D5AB31EA-6B85-4028-9A2B-26F8FBF349AC}" name="Weeknr"/>
    <tableColumn id="9" xr3:uid="{D497332F-83DA-4F6E-AC90-7D8612BF3737}" name="Totaal"/>
    <tableColumn id="10" xr3:uid="{8B74BF69-A78B-4156-9761-CDC15654B713}" name="Aantal categorieën"/>
    <tableColumn id="11" xr3:uid="{A2706491-A92D-404A-857C-5D43DE420447}" name="Meest gebruikte categori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8A4602-0A46-473A-AB1C-2621685F356D}" name="Tabel2" displayName="Tabel2" ref="P1:V2" insertRow="1" totalsRowShown="0">
  <autoFilter ref="P1:V2" xr:uid="{BF8A4602-0A46-473A-AB1C-2621685F356D}"/>
  <tableColumns count="7">
    <tableColumn id="1" xr3:uid="{64E25E17-7188-4A54-9B9E-D062C4ADB1A8}" name="Meest gebruikte categorie"/>
    <tableColumn id="2" xr3:uid="{4960920D-415F-4C19-BE8E-1EB05970D310}" name="ttl"/>
    <tableColumn id="3" xr3:uid="{FFBDCB16-E36C-4D31-A947-D1CEE5FE5A8A}" name="gpd"/>
    <tableColumn id="4" xr3:uid="{4B5C9E3C-5F6B-4D62-8F8A-AF5C76CD4274}" name="gpw"/>
    <tableColumn id="5" xr3:uid="{F13BCEC0-F1AF-47BC-A94B-87D017C7B2FF}" name="dudg"/>
    <tableColumn id="6" xr3:uid="{8B2D10CF-0748-4EBA-8BFC-A46F9DA6DEFB}" name="duwk"/>
    <tableColumn id="7" xr3:uid="{3AEF3998-0444-4B5B-9665-79D08841C119}" name="m_u_a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8C06E5-7E76-4DDC-9F97-978D22B83BB8}" name="Tabel3" displayName="Tabel3" ref="X1:Z4" totalsRowShown="0">
  <autoFilter ref="X1:Z4" xr:uid="{038C06E5-7E76-4DDC-9F97-978D22B83BB8}"/>
  <tableColumns count="3">
    <tableColumn id="1" xr3:uid="{BFA9BA3A-7BCC-4D5B-8808-2E138964DEB1}" name="Categorie"/>
    <tableColumn id="2" xr3:uid="{1A390F82-AF28-4077-93DD-852195150ABF}" name="Aantal"/>
    <tableColumn id="3" xr3:uid="{2A03F0A1-6E46-45F3-999B-405B5FDC2EF1}" name="Tota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B377-BAA4-4BEC-94C6-2D5261DE54DE}">
  <sheetPr codeName="Blad4">
    <pageSetUpPr fitToPage="1"/>
  </sheetPr>
  <dimension ref="A1:G90"/>
  <sheetViews>
    <sheetView workbookViewId="0">
      <selection activeCell="I13" sqref="I13"/>
    </sheetView>
  </sheetViews>
  <sheetFormatPr defaultRowHeight="13"/>
  <cols>
    <col min="1" max="1" width="20.81640625" style="41" customWidth="1"/>
    <col min="2" max="2" width="20.08984375" style="41" customWidth="1"/>
    <col min="3" max="3" width="8.36328125" style="41" bestFit="1" customWidth="1"/>
    <col min="4" max="4" width="8.7265625" style="41"/>
    <col min="5" max="5" width="8.36328125" style="41" bestFit="1" customWidth="1"/>
    <col min="6" max="6" width="16.453125" style="41" customWidth="1"/>
    <col min="7" max="7" width="13.453125" style="41" customWidth="1"/>
    <col min="8" max="16384" width="8.7265625" style="41"/>
  </cols>
  <sheetData>
    <row r="1" spans="1:7" ht="13.5" thickBot="1">
      <c r="A1" s="192" t="s">
        <v>88</v>
      </c>
      <c r="B1" s="193"/>
      <c r="C1" s="193"/>
      <c r="D1" s="193"/>
      <c r="E1" s="193"/>
      <c r="F1" s="193"/>
      <c r="G1" s="194"/>
    </row>
    <row r="2" spans="1:7" ht="13.5" customHeight="1" thickBot="1">
      <c r="A2" s="203" t="s">
        <v>91</v>
      </c>
      <c r="B2" s="75" t="s">
        <v>92</v>
      </c>
      <c r="C2" s="195" t="s">
        <v>93</v>
      </c>
      <c r="D2" s="196"/>
      <c r="E2" s="197" t="s">
        <v>94</v>
      </c>
      <c r="F2" s="198"/>
      <c r="G2" s="76"/>
    </row>
    <row r="3" spans="1:7" ht="13" customHeight="1">
      <c r="A3" s="204"/>
      <c r="B3" s="77" t="s">
        <v>95</v>
      </c>
      <c r="C3" s="78">
        <v>1</v>
      </c>
      <c r="D3" s="79"/>
      <c r="E3" s="199" t="s">
        <v>96</v>
      </c>
      <c r="F3" s="200"/>
      <c r="G3" s="76"/>
    </row>
    <row r="4" spans="1:7" ht="13" customHeight="1">
      <c r="A4" s="204"/>
      <c r="B4" s="80" t="s">
        <v>97</v>
      </c>
      <c r="C4" s="81"/>
      <c r="D4" s="82"/>
      <c r="E4" s="201" t="s">
        <v>98</v>
      </c>
      <c r="F4" s="202"/>
      <c r="G4" s="76"/>
    </row>
    <row r="5" spans="1:7" ht="13" customHeight="1">
      <c r="A5" s="204"/>
      <c r="B5" s="80" t="s">
        <v>99</v>
      </c>
      <c r="C5" s="81"/>
      <c r="D5" s="82"/>
      <c r="E5" s="201" t="s">
        <v>100</v>
      </c>
      <c r="F5" s="202"/>
      <c r="G5" s="76"/>
    </row>
    <row r="6" spans="1:7" ht="13" customHeight="1">
      <c r="A6" s="204"/>
      <c r="B6" s="80" t="s">
        <v>101</v>
      </c>
      <c r="C6" s="81"/>
      <c r="D6" s="82"/>
      <c r="E6" s="201" t="s">
        <v>102</v>
      </c>
      <c r="F6" s="202"/>
      <c r="G6" s="76"/>
    </row>
    <row r="7" spans="1:7" ht="13" customHeight="1">
      <c r="A7" s="204"/>
      <c r="B7" s="80" t="s">
        <v>103</v>
      </c>
      <c r="C7" s="81"/>
      <c r="D7" s="82"/>
      <c r="E7" s="201" t="s">
        <v>104</v>
      </c>
      <c r="F7" s="202"/>
      <c r="G7" s="76"/>
    </row>
    <row r="8" spans="1:7" ht="13" customHeight="1">
      <c r="A8" s="204"/>
      <c r="B8" s="80" t="s">
        <v>105</v>
      </c>
      <c r="C8" s="81"/>
      <c r="D8" s="82">
        <v>1</v>
      </c>
      <c r="E8" s="201" t="s">
        <v>106</v>
      </c>
      <c r="F8" s="202"/>
      <c r="G8" s="76"/>
    </row>
    <row r="9" spans="1:7" ht="13" customHeight="1">
      <c r="A9" s="204"/>
      <c r="B9" s="80" t="s">
        <v>107</v>
      </c>
      <c r="C9" s="81"/>
      <c r="D9" s="82"/>
      <c r="E9" s="201" t="s">
        <v>108</v>
      </c>
      <c r="F9" s="202"/>
      <c r="G9" s="76"/>
    </row>
    <row r="10" spans="1:7" ht="13.5" customHeight="1" thickBot="1">
      <c r="A10" s="83" t="s">
        <v>136</v>
      </c>
      <c r="B10" s="84" t="s">
        <v>109</v>
      </c>
      <c r="C10" s="85"/>
      <c r="D10" s="86"/>
      <c r="E10" s="205" t="s">
        <v>110</v>
      </c>
      <c r="F10" s="206"/>
      <c r="G10" s="76"/>
    </row>
    <row r="11" spans="1:7">
      <c r="A11" s="87" t="s">
        <v>132</v>
      </c>
      <c r="B11" s="88"/>
      <c r="C11" s="87"/>
      <c r="D11" s="87"/>
      <c r="E11" s="89"/>
      <c r="F11" s="90"/>
      <c r="G11" s="76"/>
    </row>
    <row r="12" spans="1:7" ht="13.5" thickBot="1">
      <c r="A12" s="91" t="s">
        <v>10</v>
      </c>
      <c r="B12" s="91"/>
      <c r="C12" s="146" t="s">
        <v>3</v>
      </c>
      <c r="D12" s="83" t="s">
        <v>89</v>
      </c>
      <c r="E12" s="92"/>
      <c r="F12" s="93" t="s">
        <v>11</v>
      </c>
      <c r="G12" s="93" t="s">
        <v>12</v>
      </c>
    </row>
    <row r="13" spans="1:7" ht="14" thickTop="1" thickBot="1">
      <c r="A13" s="190" t="s">
        <v>13</v>
      </c>
      <c r="B13" s="191"/>
      <c r="C13" s="94">
        <v>3214.49</v>
      </c>
      <c r="D13" s="95" t="s">
        <v>7</v>
      </c>
      <c r="E13" s="92" cm="1">
        <f t="array" ref="E13">_xlfn.IFS(D13=rekentool!$A$2,C13,D13=rekentool!$A$3,C13/12,D13=rekentool!$A$4,C13*1.08333333,D13=rekentool!$A$5,C13/3)</f>
        <v>3214.49</v>
      </c>
      <c r="F13" s="96"/>
      <c r="G13" s="97"/>
    </row>
    <row r="14" spans="1:7" ht="13.5" thickTop="1">
      <c r="A14" s="189" t="s">
        <v>14</v>
      </c>
      <c r="B14" s="189"/>
      <c r="C14" s="98">
        <f>C13/92*8*6</f>
        <v>1677.1252173913042</v>
      </c>
      <c r="D14" s="99" t="s">
        <v>15</v>
      </c>
      <c r="E14" s="92">
        <f>C14/12</f>
        <v>139.76043478260868</v>
      </c>
      <c r="F14" s="100"/>
      <c r="G14" s="101"/>
    </row>
    <row r="15" spans="1:7" ht="13.5" thickBot="1">
      <c r="A15" s="189" t="s">
        <v>16</v>
      </c>
      <c r="B15" s="189"/>
      <c r="C15" s="98">
        <v>832.82</v>
      </c>
      <c r="D15" s="102" t="s">
        <v>17</v>
      </c>
      <c r="E15" s="92">
        <f>C15/3</f>
        <v>277.60666666666668</v>
      </c>
      <c r="F15" s="100"/>
      <c r="G15" s="101"/>
    </row>
    <row r="16" spans="1:7" ht="14" thickTop="1" thickBot="1">
      <c r="A16" s="189" t="s">
        <v>18</v>
      </c>
      <c r="B16" s="189"/>
      <c r="C16" s="103"/>
      <c r="D16" s="95" t="s">
        <v>111</v>
      </c>
      <c r="E16" s="92" cm="1">
        <f t="array" ref="E16">_xlfn.IFS(D16=rekentool!$A$2,C16,D16=rekentool!$A$3,C16/12,D16=rekentool!$A$4,C16*1.0833333,D16=rekentool!$A$5,C16/3)</f>
        <v>0</v>
      </c>
      <c r="F16" s="104"/>
      <c r="G16" s="101"/>
    </row>
    <row r="17" spans="1:7" ht="13.5" thickTop="1">
      <c r="A17" s="189" t="s">
        <v>19</v>
      </c>
      <c r="B17" s="189"/>
      <c r="C17" s="98"/>
      <c r="D17" s="99" t="s">
        <v>15</v>
      </c>
      <c r="E17" s="92" cm="1">
        <f t="array" ref="E17">_xlfn.IFS(D17=rekentool!$A$2,C17,D17=rekentool!$A$3,C17/12,D17=rekentool!$A$4,C17*1.0833333,D17=rekentool!$A$5,C17/3)</f>
        <v>0</v>
      </c>
      <c r="F17" s="104"/>
      <c r="G17" s="101"/>
    </row>
    <row r="18" spans="1:7">
      <c r="A18" s="189" t="s">
        <v>20</v>
      </c>
      <c r="B18" s="189"/>
      <c r="C18" s="105"/>
      <c r="D18" s="106" t="s">
        <v>7</v>
      </c>
      <c r="E18" s="92" cm="1">
        <f t="array" ref="E18">_xlfn.IFS(D18=rekentool!$A$2,C18,D18=rekentool!$A$3,C18/12,D18=rekentool!$A$4,C18*1.0833333,D18=rekentool!$A$5,C18/3)</f>
        <v>0</v>
      </c>
      <c r="F18" s="104"/>
      <c r="G18" s="101"/>
    </row>
    <row r="19" spans="1:7">
      <c r="A19" s="189" t="s">
        <v>21</v>
      </c>
      <c r="B19" s="189"/>
      <c r="C19" s="105"/>
      <c r="D19" s="106" t="s">
        <v>7</v>
      </c>
      <c r="E19" s="92" cm="1">
        <f t="array" ref="E19">_xlfn.IFS(D19=rekentool!$A$2,C19,D19=rekentool!$A$3,C19/12,D19=rekentool!$A$4,C19*1.0833333,D19=rekentool!$A$5,C19/3)</f>
        <v>0</v>
      </c>
      <c r="F19" s="104"/>
      <c r="G19" s="101"/>
    </row>
    <row r="20" spans="1:7">
      <c r="A20" s="189" t="s">
        <v>22</v>
      </c>
      <c r="B20" s="189"/>
      <c r="C20" s="107"/>
      <c r="D20" s="106" t="s">
        <v>7</v>
      </c>
      <c r="E20" s="92" cm="1">
        <f t="array" ref="E20">_xlfn.IFS(D20=rekentool!$A$2,C20,D20=rekentool!$A$3,C20/12,D20=rekentool!$A$4,C20*1.0833333,D20=rekentool!$A$5,C20/3)</f>
        <v>0</v>
      </c>
      <c r="F20" s="104"/>
      <c r="G20" s="101"/>
    </row>
    <row r="21" spans="1:7">
      <c r="A21" s="189" t="s">
        <v>23</v>
      </c>
      <c r="B21" s="189"/>
      <c r="C21" s="105">
        <v>628</v>
      </c>
      <c r="D21" s="106" t="s">
        <v>7</v>
      </c>
      <c r="E21" s="92" cm="1">
        <f t="array" ref="E21">_xlfn.IFS(D21=rekentool!$A$2,C21,D21=rekentool!$A$3,C21/12,D21=rekentool!$A$4,C21*1.0833333,D21=rekentool!$A$5,C21/3)</f>
        <v>628</v>
      </c>
      <c r="F21" s="104"/>
      <c r="G21" s="101"/>
    </row>
    <row r="22" spans="1:7">
      <c r="A22" s="182" t="s">
        <v>24</v>
      </c>
      <c r="B22" s="182"/>
      <c r="C22" s="105"/>
      <c r="D22" s="106" t="s">
        <v>7</v>
      </c>
      <c r="E22" s="92" cm="1">
        <f t="array" ref="E22">_xlfn.IFS(D22=rekentool!$A$2,C22,D22=rekentool!$A$3,C22/12,D22=rekentool!$A$4,C22*1.0833333,D22=rekentool!$A$5,C22/3)</f>
        <v>0</v>
      </c>
      <c r="F22" s="104"/>
      <c r="G22" s="101"/>
    </row>
    <row r="23" spans="1:7" ht="13.5" thickBot="1">
      <c r="A23" s="182" t="s">
        <v>25</v>
      </c>
      <c r="B23" s="182"/>
      <c r="C23" s="109"/>
      <c r="D23" s="102" t="s">
        <v>7</v>
      </c>
      <c r="E23" s="92" cm="1">
        <f t="array" ref="E23">_xlfn.IFS(D23=rekentool!$A$2,C23,D23=rekentool!$A$3,C23/12,D23=rekentool!$A$4,C23*1.0833333,D23=rekentool!$A$5,C23/3)</f>
        <v>0</v>
      </c>
      <c r="F23" s="110"/>
      <c r="G23" s="111"/>
    </row>
    <row r="24" spans="1:7" ht="13.5" thickBot="1">
      <c r="A24" s="112"/>
      <c r="B24" s="113"/>
      <c r="C24" s="186" t="s">
        <v>26</v>
      </c>
      <c r="D24" s="187"/>
      <c r="E24" s="114">
        <f>SUM(E13:E23)</f>
        <v>4259.8571014492754</v>
      </c>
      <c r="F24" s="76"/>
      <c r="G24" s="76"/>
    </row>
    <row r="25" spans="1:7">
      <c r="A25" s="115" t="s">
        <v>27</v>
      </c>
      <c r="B25" s="116" t="s">
        <v>28</v>
      </c>
      <c r="C25" s="117"/>
      <c r="D25" s="118"/>
      <c r="E25" s="117"/>
      <c r="F25" s="116" t="s">
        <v>29</v>
      </c>
      <c r="G25" s="116" t="s">
        <v>0</v>
      </c>
    </row>
    <row r="26" spans="1:7">
      <c r="A26" s="117"/>
      <c r="B26" s="119" t="s">
        <v>30</v>
      </c>
      <c r="C26" s="120" t="s">
        <v>3</v>
      </c>
      <c r="D26" s="121" t="s">
        <v>90</v>
      </c>
      <c r="E26" s="76"/>
      <c r="F26" s="76"/>
      <c r="G26" s="122"/>
    </row>
    <row r="27" spans="1:7">
      <c r="A27" s="188" t="s">
        <v>31</v>
      </c>
      <c r="B27" s="188"/>
      <c r="C27" s="123">
        <v>794.78</v>
      </c>
      <c r="D27" s="99" t="s">
        <v>7</v>
      </c>
      <c r="E27" s="92" cm="1">
        <f t="array" ref="E27">_xlfn.IFS(D27=rekentool!$A$2,C27,D27=rekentool!$A$3,C27/12,D27=rekentool!$A$4,C27*1.0833333,D27=rekentool!$A$5,C27/3)</f>
        <v>794.78</v>
      </c>
      <c r="F27" s="124"/>
      <c r="G27" s="125"/>
    </row>
    <row r="28" spans="1:7">
      <c r="A28" s="182" t="s">
        <v>32</v>
      </c>
      <c r="B28" s="182"/>
      <c r="C28" s="98"/>
      <c r="D28" s="106" t="s">
        <v>7</v>
      </c>
      <c r="E28" s="92" cm="1">
        <f t="array" ref="E28">_xlfn.IFS(D28=rekentool!$A$2,C28,D28=rekentool!$A$3,C28/12,D28=rekentool!$A$4,C28*1.0833333,D28=rekentool!$A$5,C28/3)</f>
        <v>0</v>
      </c>
      <c r="F28" s="126"/>
      <c r="G28" s="125"/>
    </row>
    <row r="29" spans="1:7">
      <c r="A29" s="182" t="s">
        <v>33</v>
      </c>
      <c r="B29" s="182"/>
      <c r="C29" s="98"/>
      <c r="D29" s="106" t="s">
        <v>7</v>
      </c>
      <c r="E29" s="92" cm="1">
        <f t="array" ref="E29">_xlfn.IFS(D29=rekentool!$A$2,C29,D29=rekentool!$A$3,C29/12,D29=rekentool!$A$4,C29*1.0833333,D29=rekentool!$A$5,C29/3)</f>
        <v>0</v>
      </c>
      <c r="F29" s="126"/>
      <c r="G29" s="125"/>
    </row>
    <row r="30" spans="1:7">
      <c r="A30" s="182" t="s">
        <v>34</v>
      </c>
      <c r="B30" s="182"/>
      <c r="C30" s="98"/>
      <c r="D30" s="99" t="s">
        <v>7</v>
      </c>
      <c r="E30" s="92" cm="1">
        <f t="array" ref="E30">_xlfn.IFS(D30=rekentool!$A$2,C30,D30=rekentool!$A$3,C30/12,D30=rekentool!$A$4,C30*1.0833333,D30=rekentool!$A$5,C30/3)</f>
        <v>0</v>
      </c>
      <c r="F30" s="126"/>
      <c r="G30" s="125"/>
    </row>
    <row r="31" spans="1:7">
      <c r="A31" s="182" t="s">
        <v>35</v>
      </c>
      <c r="B31" s="182"/>
      <c r="C31" s="98"/>
      <c r="D31" s="106" t="s">
        <v>7</v>
      </c>
      <c r="E31" s="92" cm="1">
        <f t="array" ref="E31">_xlfn.IFS(D31=rekentool!$A$2,C31,D31=rekentool!$A$3,C31/12,D31=rekentool!$A$4,C31*1.0833333,D31=rekentool!$A$5,C31/3)</f>
        <v>0</v>
      </c>
      <c r="F31" s="126"/>
      <c r="G31" s="125"/>
    </row>
    <row r="32" spans="1:7">
      <c r="A32" s="182" t="s">
        <v>36</v>
      </c>
      <c r="B32" s="182"/>
      <c r="C32" s="98"/>
      <c r="D32" s="106" t="s">
        <v>7</v>
      </c>
      <c r="E32" s="92" cm="1">
        <f t="array" ref="E32">_xlfn.IFS(D32=rekentool!$A$2,C32,D32=rekentool!$A$3,C32/12,D32=rekentool!$A$4,C32*1.0833333,D32=rekentool!$A$5,C32/3)</f>
        <v>0</v>
      </c>
      <c r="F32" s="126"/>
      <c r="G32" s="125"/>
    </row>
    <row r="33" spans="1:7">
      <c r="A33" s="182" t="s">
        <v>37</v>
      </c>
      <c r="B33" s="182"/>
      <c r="C33" s="98">
        <f>36+136</f>
        <v>172</v>
      </c>
      <c r="D33" s="99" t="s">
        <v>7</v>
      </c>
      <c r="E33" s="92" cm="1">
        <f t="array" ref="E33">_xlfn.IFS(D33=rekentool!$A$2,C33,D33=rekentool!$A$3,C33/12,D33=rekentool!$A$4,C33*1.0833333,D33=rekentool!$A$5,C33/3)</f>
        <v>172</v>
      </c>
      <c r="F33" s="126"/>
      <c r="G33" s="125"/>
    </row>
    <row r="34" spans="1:7">
      <c r="A34" s="182" t="s">
        <v>38</v>
      </c>
      <c r="B34" s="182"/>
      <c r="C34" s="98"/>
      <c r="D34" s="106" t="s">
        <v>7</v>
      </c>
      <c r="E34" s="92" cm="1">
        <f t="array" ref="E34">_xlfn.IFS(D34=rekentool!$A$2,C34,D34=rekentool!$A$3,C34/12,D34=rekentool!$A$4,C34*1.0833333,D34=rekentool!$A$5,C34/3)</f>
        <v>0</v>
      </c>
      <c r="F34" s="126"/>
      <c r="G34" s="125"/>
    </row>
    <row r="35" spans="1:7">
      <c r="A35" s="182" t="s">
        <v>39</v>
      </c>
      <c r="B35" s="182"/>
      <c r="C35" s="105"/>
      <c r="D35" s="106" t="s">
        <v>7</v>
      </c>
      <c r="E35" s="92" cm="1">
        <f t="array" ref="E35">_xlfn.IFS(D35=rekentool!$A$2,C35,D35=rekentool!$A$3,C35/12,D35=rekentool!$A$4,C35*1.0833333,D35=rekentool!$A$5,C35/3)</f>
        <v>0</v>
      </c>
      <c r="F35" s="126"/>
      <c r="G35" s="125"/>
    </row>
    <row r="36" spans="1:7">
      <c r="A36" s="182" t="s">
        <v>40</v>
      </c>
      <c r="B36" s="182"/>
      <c r="C36" s="105">
        <v>15</v>
      </c>
      <c r="D36" s="99" t="s">
        <v>7</v>
      </c>
      <c r="E36" s="92" cm="1">
        <f t="array" ref="E36">_xlfn.IFS(D36=rekentool!$A$2,C36,D36=rekentool!$A$3,C36/12,D36=rekentool!$A$4,C36*1.0833333,D36=rekentool!$A$5,C36/3)</f>
        <v>15</v>
      </c>
      <c r="F36" s="126"/>
      <c r="G36" s="125"/>
    </row>
    <row r="37" spans="1:7">
      <c r="A37" s="182" t="s">
        <v>41</v>
      </c>
      <c r="B37" s="182"/>
      <c r="C37" s="107"/>
      <c r="D37" s="106" t="s">
        <v>7</v>
      </c>
      <c r="E37" s="92" cm="1">
        <f t="array" ref="E37">_xlfn.IFS(D37=rekentool!$A$2,C37,D37=rekentool!$A$3,C37/12,D37=rekentool!$A$4,C37*1.0833333,D37=rekentool!$A$5,C37/3)</f>
        <v>0</v>
      </c>
      <c r="F37" s="126"/>
      <c r="G37" s="125"/>
    </row>
    <row r="38" spans="1:7">
      <c r="A38" s="182" t="s">
        <v>42</v>
      </c>
      <c r="B38" s="182"/>
      <c r="C38" s="105"/>
      <c r="D38" s="106" t="s">
        <v>15</v>
      </c>
      <c r="E38" s="92">
        <f>C38/12</f>
        <v>0</v>
      </c>
      <c r="F38" s="126"/>
      <c r="G38" s="125"/>
    </row>
    <row r="39" spans="1:7">
      <c r="A39" s="182" t="s">
        <v>43</v>
      </c>
      <c r="B39" s="182"/>
      <c r="C39" s="109">
        <f>81.54*12</f>
        <v>978.48</v>
      </c>
      <c r="D39" s="99" t="s">
        <v>15</v>
      </c>
      <c r="E39" s="92">
        <f>C39/12</f>
        <v>81.540000000000006</v>
      </c>
      <c r="F39" s="127"/>
      <c r="G39" s="125"/>
    </row>
    <row r="40" spans="1:7">
      <c r="A40" s="117"/>
      <c r="B40" s="119" t="s">
        <v>44</v>
      </c>
      <c r="C40" s="120" t="s">
        <v>3</v>
      </c>
      <c r="D40" s="128" t="s">
        <v>90</v>
      </c>
      <c r="E40" s="76"/>
      <c r="F40" s="125"/>
      <c r="G40" s="76"/>
    </row>
    <row r="41" spans="1:7">
      <c r="A41" s="182" t="s">
        <v>45</v>
      </c>
      <c r="B41" s="182"/>
      <c r="C41" s="129">
        <v>221.95</v>
      </c>
      <c r="D41" s="106" t="s">
        <v>7</v>
      </c>
      <c r="E41" s="92" cm="1">
        <f t="array" ref="E41">_xlfn.IFS(D41=rekentool!$A$2,C41,D41=rekentool!$A$3,C41/12,D41=rekentool!$A$4,C41*1.0833333,D41=rekentool!$A$5,C41/3)</f>
        <v>221.95</v>
      </c>
      <c r="F41" s="124"/>
      <c r="G41" s="125"/>
    </row>
    <row r="42" spans="1:7">
      <c r="A42" s="182" t="s">
        <v>46</v>
      </c>
      <c r="B42" s="182"/>
      <c r="C42" s="130"/>
      <c r="D42" s="106" t="s">
        <v>7</v>
      </c>
      <c r="E42" s="92" cm="1">
        <f t="array" ref="E42">_xlfn.IFS(D42=rekentool!$A$2,C42,D42=rekentool!$A$3,C42/12,D42=rekentool!$A$4,C42*1.0833333,D42=rekentool!$A$5,C42/3)</f>
        <v>0</v>
      </c>
      <c r="F42" s="126"/>
      <c r="G42" s="125"/>
    </row>
    <row r="43" spans="1:7">
      <c r="A43" s="182" t="s">
        <v>47</v>
      </c>
      <c r="B43" s="185"/>
      <c r="C43" s="92">
        <f>rekentool!B4</f>
        <v>385</v>
      </c>
      <c r="D43" s="106" t="s">
        <v>15</v>
      </c>
      <c r="E43" s="145">
        <f>C43/12</f>
        <v>32.083333333333336</v>
      </c>
      <c r="F43" s="126"/>
      <c r="G43" s="125"/>
    </row>
    <row r="44" spans="1:7">
      <c r="A44" s="182" t="s">
        <v>48</v>
      </c>
      <c r="B44" s="182"/>
      <c r="C44" s="129"/>
      <c r="D44" s="106" t="s">
        <v>7</v>
      </c>
      <c r="E44" s="92" cm="1">
        <f t="array" ref="E44">_xlfn.IFS(D44=rekentool!$A$2,C44,D44=rekentool!$A$3,C44/12,D44=rekentool!$A$4,C44*1.0833333,D44=rekentool!$A$5,C44/3)</f>
        <v>0</v>
      </c>
      <c r="F44" s="126"/>
      <c r="G44" s="125"/>
    </row>
    <row r="45" spans="1:7">
      <c r="A45" s="182" t="s">
        <v>49</v>
      </c>
      <c r="B45" s="182"/>
      <c r="C45" s="98">
        <v>6.18</v>
      </c>
      <c r="D45" s="106" t="s">
        <v>7</v>
      </c>
      <c r="E45" s="92" cm="1">
        <f t="array" ref="E45">_xlfn.IFS(D45=rekentool!$A$2,C45,D45=rekentool!$A$3,C45/12,D45=rekentool!$A$4,C45*1.0833333,D45=rekentool!$A$5,C45/3)</f>
        <v>6.18</v>
      </c>
      <c r="F45" s="126"/>
      <c r="G45" s="125"/>
    </row>
    <row r="46" spans="1:7">
      <c r="A46" s="182" t="s">
        <v>50</v>
      </c>
      <c r="B46" s="182"/>
      <c r="C46" s="98"/>
      <c r="D46" s="106" t="s">
        <v>7</v>
      </c>
      <c r="E46" s="92" cm="1">
        <f t="array" ref="E46">_xlfn.IFS(D46=rekentool!$A$2,C46,D46=rekentool!$A$3,C46/12,D46=rekentool!$A$4,C46*1.0833333,D46=rekentool!$A$5,C46/3)</f>
        <v>0</v>
      </c>
      <c r="F46" s="126"/>
      <c r="G46" s="125"/>
    </row>
    <row r="47" spans="1:7">
      <c r="A47" s="182" t="s">
        <v>33</v>
      </c>
      <c r="B47" s="182"/>
      <c r="C47" s="98"/>
      <c r="D47" s="106" t="s">
        <v>7</v>
      </c>
      <c r="E47" s="92" cm="1">
        <f t="array" ref="E47">_xlfn.IFS(D47=rekentool!$A$2,C47,D47=rekentool!$A$3,C47/12,D47=rekentool!$A$4,C47*1.0833333,D47=rekentool!$A$5,C47/3)</f>
        <v>0</v>
      </c>
      <c r="F47" s="126"/>
      <c r="G47" s="125"/>
    </row>
    <row r="48" spans="1:7">
      <c r="A48" s="182" t="s">
        <v>51</v>
      </c>
      <c r="B48" s="182"/>
      <c r="C48" s="130">
        <v>18.04</v>
      </c>
      <c r="D48" s="106" t="s">
        <v>7</v>
      </c>
      <c r="E48" s="92" cm="1">
        <f t="array" ref="E48">_xlfn.IFS(D48=rekentool!$A$2,C48,D48=rekentool!$A$3,C48/12,D48=rekentool!$A$4,C48*1.0833333,D48=rekentool!$A$5,C48/3)</f>
        <v>18.04</v>
      </c>
      <c r="F48" s="127"/>
      <c r="G48" s="125"/>
    </row>
    <row r="49" spans="1:7">
      <c r="A49" s="117"/>
      <c r="B49" s="119" t="s">
        <v>52</v>
      </c>
      <c r="C49" s="120" t="s">
        <v>3</v>
      </c>
      <c r="D49" s="128" t="s">
        <v>90</v>
      </c>
      <c r="E49" s="76"/>
      <c r="F49" s="125"/>
      <c r="G49" s="76"/>
    </row>
    <row r="50" spans="1:7">
      <c r="A50" s="182" t="s">
        <v>53</v>
      </c>
      <c r="B50" s="182"/>
      <c r="C50" s="131"/>
      <c r="D50" s="106" t="s">
        <v>7</v>
      </c>
      <c r="E50" s="92" cm="1">
        <f t="array" ref="E50">_xlfn.IFS(D50=rekentool!$A$2,C50,D50=rekentool!$A$3,C50/12,D50=rekentool!$A$4,C50*1.0833333,D50=rekentool!$A$5,C50/3)</f>
        <v>0</v>
      </c>
      <c r="F50" s="124"/>
      <c r="G50" s="125"/>
    </row>
    <row r="51" spans="1:7">
      <c r="A51" s="182" t="s">
        <v>54</v>
      </c>
      <c r="B51" s="182"/>
      <c r="C51" s="132">
        <f>17.3+17.11+70.87</f>
        <v>105.28</v>
      </c>
      <c r="D51" s="106" t="s">
        <v>7</v>
      </c>
      <c r="E51" s="92" cm="1">
        <f t="array" ref="E51">_xlfn.IFS(D51=rekentool!$A$2,C51,D51=rekentool!$A$3,C51/12,D51=rekentool!$A$4,C51*1.0833333,D51=rekentool!$A$5,C51/3)</f>
        <v>105.28</v>
      </c>
      <c r="F51" s="126"/>
      <c r="G51" s="125"/>
    </row>
    <row r="52" spans="1:7">
      <c r="A52" s="182" t="s">
        <v>55</v>
      </c>
      <c r="B52" s="182"/>
      <c r="C52" s="132">
        <v>80.69</v>
      </c>
      <c r="D52" s="106" t="s">
        <v>7</v>
      </c>
      <c r="E52" s="92" cm="1">
        <f t="array" ref="E52">_xlfn.IFS(D52=rekentool!$A$2,C52,D52=rekentool!$A$3,C52/12,D52=rekentool!$A$4,C52*1.0833333,D52=rekentool!$A$5,C52/3)</f>
        <v>80.69</v>
      </c>
      <c r="F52" s="126"/>
      <c r="G52" s="125"/>
    </row>
    <row r="53" spans="1:7">
      <c r="A53" s="182" t="s">
        <v>56</v>
      </c>
      <c r="B53" s="182"/>
      <c r="C53" s="132">
        <f>9.99+18.99+21.99+8.99</f>
        <v>59.96</v>
      </c>
      <c r="D53" s="106" t="s">
        <v>7</v>
      </c>
      <c r="E53" s="92" cm="1">
        <f t="array" ref="E53">_xlfn.IFS(D53=rekentool!$A$2,C53,D53=rekentool!$A$3,C53/12,D53=rekentool!$A$4,C53*1.0833333,D53=rekentool!$A$5,C53/3)</f>
        <v>59.96</v>
      </c>
      <c r="F53" s="126"/>
      <c r="G53" s="125"/>
    </row>
    <row r="54" spans="1:7" ht="13.5" thickBot="1">
      <c r="A54" s="182" t="s">
        <v>57</v>
      </c>
      <c r="B54" s="182"/>
      <c r="C54" s="132">
        <v>25</v>
      </c>
      <c r="D54" s="102" t="s">
        <v>7</v>
      </c>
      <c r="E54" s="92" cm="1">
        <f t="array" ref="E54">_xlfn.IFS(D54=rekentool!$A$2,C54,D54=rekentool!$A$3,C54/12,D54=rekentool!$A$4,C54*1.0833333,D54=rekentool!$A$5,C54/3)</f>
        <v>25</v>
      </c>
      <c r="F54" s="126"/>
      <c r="G54" s="125"/>
    </row>
    <row r="55" spans="1:7" ht="14" thickTop="1" thickBot="1">
      <c r="A55" s="182" t="s">
        <v>58</v>
      </c>
      <c r="B55" s="182"/>
      <c r="C55" s="133">
        <v>50</v>
      </c>
      <c r="D55" s="95" t="s">
        <v>17</v>
      </c>
      <c r="E55" s="92" cm="1">
        <f t="array" ref="E55">_xlfn.IFS(D55=rekentool!$A$2,C55,D55=rekentool!$A$3,C55/12,D55=rekentool!$A$4,C55*1.0833333,D55=rekentool!$A$5,C55/3,D55="",C55)</f>
        <v>16.666666666666668</v>
      </c>
      <c r="F55" s="127"/>
      <c r="G55" s="125"/>
    </row>
    <row r="56" spans="1:7" ht="13.5" thickTop="1">
      <c r="A56" s="117"/>
      <c r="B56" s="119" t="s">
        <v>59</v>
      </c>
      <c r="C56" s="120" t="s">
        <v>3</v>
      </c>
      <c r="D56" s="121" t="s">
        <v>90</v>
      </c>
      <c r="E56" s="76"/>
      <c r="F56" s="134"/>
      <c r="G56" s="76"/>
    </row>
    <row r="57" spans="1:7">
      <c r="A57" s="108" t="s">
        <v>112</v>
      </c>
      <c r="B57" s="108" t="s">
        <v>141</v>
      </c>
      <c r="C57" s="135">
        <f>rekentool!K11</f>
        <v>494.88</v>
      </c>
      <c r="D57" s="102" t="s">
        <v>7</v>
      </c>
      <c r="E57" s="92" cm="1">
        <f t="array" ref="E57">_xlfn.IFS(D57=rekentool!$A$2,C57,D57=rekentool!$A$3,C57/12,D57=rekentool!$A$4,C57*1.0833333,D57=rekentool!$A$5,C57/3,D57="",C57)</f>
        <v>494.88</v>
      </c>
      <c r="F57" s="124"/>
      <c r="G57" s="125"/>
    </row>
    <row r="58" spans="1:7" ht="14" hidden="1" thickTop="1" thickBot="1">
      <c r="A58" s="167" t="s">
        <v>60</v>
      </c>
      <c r="B58" s="108"/>
      <c r="C58" s="136"/>
      <c r="D58" s="95"/>
      <c r="E58" s="92" cm="1">
        <f t="array" ref="E58">_xlfn.IFS(D58=rekentool!$A$2,C58,D58=rekentool!$A$3,C58/12,D58=rekentool!$A$4,C58*1.0833333,D58=rekentool!$A$5,C58/3,D58="",C58)</f>
        <v>0</v>
      </c>
      <c r="F58" s="126"/>
      <c r="G58" s="125"/>
    </row>
    <row r="59" spans="1:7" ht="13.5" thickBot="1">
      <c r="A59" s="182" t="s">
        <v>61</v>
      </c>
      <c r="B59" s="185"/>
      <c r="C59" s="137">
        <f>IFERROR(rekentool!F22,0)</f>
        <v>1250</v>
      </c>
      <c r="D59" s="138" t="s">
        <v>15</v>
      </c>
      <c r="E59" s="92" cm="1">
        <f t="array" ref="E59">_xlfn.IFS(D59=rekentool!$A$2,C59,D59=rekentool!$A$3,C59/12,D59=rekentool!$A$4,C59*1.0833333,D59=rekentool!$A$5,C59/3,D59="",C59)</f>
        <v>104.16666666666667</v>
      </c>
      <c r="F59" s="126"/>
      <c r="G59" s="125"/>
    </row>
    <row r="60" spans="1:7" ht="14" thickTop="1" thickBot="1">
      <c r="A60" s="182" t="s">
        <v>62</v>
      </c>
      <c r="B60" s="182"/>
      <c r="C60" s="94"/>
      <c r="D60" s="95"/>
      <c r="E60" s="92" cm="1">
        <f t="array" ref="E60">_xlfn.IFS(D60=rekentool!$A$2,C60,D60=rekentool!$A$3,C60/12,D60=rekentool!$A$4,C60*1.0833333,D60=rekentool!$A$5,C60/3,D60="",C60)</f>
        <v>0</v>
      </c>
      <c r="F60" s="126"/>
      <c r="G60" s="125"/>
    </row>
    <row r="61" spans="1:7" ht="14" thickTop="1" thickBot="1">
      <c r="A61" s="182" t="s">
        <v>63</v>
      </c>
      <c r="B61" s="182"/>
      <c r="C61" s="103"/>
      <c r="D61" s="95"/>
      <c r="E61" s="92" cm="1">
        <f t="array" ref="E61">_xlfn.IFS(D61=rekentool!$A$2,C61,D61=rekentool!$A$3,C61/12,D61=rekentool!$A$4,C61*1.0833333,D61=rekentool!$A$5,C61/3,D61="",C61)</f>
        <v>0</v>
      </c>
      <c r="F61" s="126"/>
      <c r="G61" s="125"/>
    </row>
    <row r="62" spans="1:7" ht="14" thickTop="1" thickBot="1">
      <c r="A62" s="182" t="s">
        <v>64</v>
      </c>
      <c r="B62" s="182"/>
      <c r="C62" s="103"/>
      <c r="D62" s="95"/>
      <c r="E62" s="92" cm="1">
        <f t="array" ref="E62">_xlfn.IFS(D62=rekentool!$A$2,C62,D62=rekentool!$A$3,C62/12,D62=rekentool!$A$4,C62*1.0833333,D62=rekentool!$A$5,C62/3,D62="",C62)</f>
        <v>0</v>
      </c>
      <c r="F62" s="126"/>
      <c r="G62" s="125"/>
    </row>
    <row r="63" spans="1:7" ht="14" thickTop="1" thickBot="1">
      <c r="A63" s="182" t="s">
        <v>65</v>
      </c>
      <c r="B63" s="182"/>
      <c r="C63" s="103"/>
      <c r="D63" s="95"/>
      <c r="E63" s="92" cm="1">
        <f t="array" ref="E63">_xlfn.IFS(D63=rekentool!$A$2,C63,D63=rekentool!$A$3,C63/12,D63=rekentool!$A$4,C63*1.0833333,D63=rekentool!$A$5,C63/3,D63="",C63)</f>
        <v>0</v>
      </c>
      <c r="F63" s="126"/>
      <c r="G63" s="125"/>
    </row>
    <row r="64" spans="1:7" ht="14" thickTop="1" thickBot="1">
      <c r="A64" s="182" t="s">
        <v>66</v>
      </c>
      <c r="B64" s="182"/>
      <c r="C64" s="103"/>
      <c r="D64" s="95"/>
      <c r="E64" s="92" cm="1">
        <f t="array" ref="E64">_xlfn.IFS(D64=rekentool!$A$2,C64,D64=rekentool!$A$3,C64/12,D64=rekentool!$A$4,C64*1.0833333,D64=rekentool!$A$5,C64/3,D64="",C64)</f>
        <v>0</v>
      </c>
      <c r="F64" s="126"/>
      <c r="G64" s="125"/>
    </row>
    <row r="65" spans="1:7" ht="14" thickTop="1" thickBot="1">
      <c r="A65" s="182" t="s">
        <v>66</v>
      </c>
      <c r="B65" s="182"/>
      <c r="C65" s="139"/>
      <c r="D65" s="95"/>
      <c r="E65" s="92" cm="1">
        <f t="array" ref="E65">_xlfn.IFS(D65=rekentool!$A$2,C65,D65=rekentool!$A$3,C65/12,D65=rekentool!$A$4,C65*1.0833333,D65=rekentool!$A$5,C65/3,D65="",C65)</f>
        <v>0</v>
      </c>
      <c r="F65" s="127"/>
      <c r="G65" s="125"/>
    </row>
    <row r="66" spans="1:7" ht="14" thickTop="1" thickBot="1">
      <c r="A66" s="140"/>
      <c r="B66" s="119" t="s">
        <v>67</v>
      </c>
      <c r="C66" s="141" t="s">
        <v>3</v>
      </c>
      <c r="D66" s="142" t="s">
        <v>89</v>
      </c>
      <c r="E66" s="92"/>
      <c r="F66" s="134"/>
      <c r="G66" s="76"/>
    </row>
    <row r="67" spans="1:7" ht="14" thickTop="1" thickBot="1">
      <c r="A67" s="182" t="s">
        <v>68</v>
      </c>
      <c r="B67" s="182"/>
      <c r="C67" s="94"/>
      <c r="D67" s="95"/>
      <c r="E67" s="92" cm="1">
        <f t="array" ref="E67">_xlfn.IFS(D67=rekentool!$A$2,C67,D67=rekentool!$A$3,C67/12,D67=rekentool!$A$4,C67*1.0833333,D67=rekentool!$A$5,C67/3,D67="",C67)</f>
        <v>0</v>
      </c>
      <c r="F67" s="124"/>
      <c r="G67" s="125"/>
    </row>
    <row r="68" spans="1:7" ht="14" thickTop="1" thickBot="1">
      <c r="A68" s="182" t="s">
        <v>69</v>
      </c>
      <c r="B68" s="182"/>
      <c r="C68" s="103"/>
      <c r="D68" s="95"/>
      <c r="E68" s="92" cm="1">
        <f t="array" ref="E68">_xlfn.IFS(D68=rekentool!$A$2,C68,D68=rekentool!$A$3,C68/12,D68=rekentool!$A$4,C68*1.0833333,D68=rekentool!$A$5,C68/3,D68="",C68)</f>
        <v>0</v>
      </c>
      <c r="F68" s="126"/>
      <c r="G68" s="125"/>
    </row>
    <row r="69" spans="1:7" ht="14" thickTop="1" thickBot="1">
      <c r="A69" s="182" t="s">
        <v>70</v>
      </c>
      <c r="B69" s="182"/>
      <c r="C69" s="103"/>
      <c r="D69" s="95"/>
      <c r="E69" s="92" cm="1">
        <f t="array" ref="E69">_xlfn.IFS(D69=rekentool!$A$2,C69,D69=rekentool!$A$3,C69/12,D69=rekentool!$A$4,C69*1.0833333,D69=rekentool!$A$5,C69/3,D69="",C69)</f>
        <v>0</v>
      </c>
      <c r="F69" s="126"/>
      <c r="G69" s="125"/>
    </row>
    <row r="70" spans="1:7" ht="14" thickTop="1" thickBot="1">
      <c r="A70" s="182" t="s">
        <v>71</v>
      </c>
      <c r="B70" s="182"/>
      <c r="C70" s="103"/>
      <c r="D70" s="95"/>
      <c r="E70" s="92" cm="1">
        <f t="array" ref="E70">_xlfn.IFS(D70=rekentool!$A$2,C70,D70=rekentool!$A$3,C70/12,D70=rekentool!$A$4,C70*1.0833333,D70=rekentool!$A$5,C70/3,D70="",C70)</f>
        <v>0</v>
      </c>
      <c r="F70" s="126"/>
      <c r="G70" s="125"/>
    </row>
    <row r="71" spans="1:7" ht="14" thickTop="1" thickBot="1">
      <c r="A71" s="182" t="s">
        <v>72</v>
      </c>
      <c r="B71" s="182"/>
      <c r="C71" s="103">
        <v>596</v>
      </c>
      <c r="D71" s="95"/>
      <c r="E71" s="92" cm="1">
        <f t="array" ref="E71">_xlfn.IFS(D71=rekentool!$A$2,C71,D71=rekentool!$A$3,C71/12,D71=rekentool!$A$4,C71*1.0833333,D71=rekentool!$A$5,C71/3,D71="",C71)</f>
        <v>596</v>
      </c>
      <c r="F71" s="126"/>
      <c r="G71" s="125"/>
    </row>
    <row r="72" spans="1:7" ht="14" thickTop="1" thickBot="1">
      <c r="A72" s="182" t="s">
        <v>73</v>
      </c>
      <c r="B72" s="182"/>
      <c r="C72" s="103"/>
      <c r="D72" s="95"/>
      <c r="E72" s="92" cm="1">
        <f t="array" ref="E72">_xlfn.IFS(D72=rekentool!$A$2,C72,D72=rekentool!$A$3,C72/12,D72=rekentool!$A$4,C72*1.0833333,D72=rekentool!$A$5,C72/3,D72="",C72)</f>
        <v>0</v>
      </c>
      <c r="F72" s="126"/>
      <c r="G72" s="125"/>
    </row>
    <row r="73" spans="1:7" ht="14" thickTop="1" thickBot="1">
      <c r="A73" s="182" t="s">
        <v>74</v>
      </c>
      <c r="B73" s="182"/>
      <c r="C73" s="103">
        <f>34.74+223.12</f>
        <v>257.86</v>
      </c>
      <c r="D73" s="95"/>
      <c r="E73" s="92" cm="1">
        <f t="array" ref="E73">_xlfn.IFS(D73=rekentool!$A$2,C73,D73=rekentool!$A$3,C73/12,D73=rekentool!$A$4,C73*1.0833333,D73=rekentool!$A$5,C73/3,D73="",C73)</f>
        <v>257.86</v>
      </c>
      <c r="F73" s="126"/>
      <c r="G73" s="125"/>
    </row>
    <row r="74" spans="1:7" ht="14" thickTop="1" thickBot="1">
      <c r="A74" s="182" t="s">
        <v>75</v>
      </c>
      <c r="B74" s="182"/>
      <c r="C74" s="139">
        <f>-41.66</f>
        <v>-41.66</v>
      </c>
      <c r="D74" s="95"/>
      <c r="E74" s="92" cm="1">
        <f t="array" ref="E74">_xlfn.IFS(D74=rekentool!$A$2,C74,D74=rekentool!$A$3,C74/12,D74=rekentool!$A$4,C74*1.0833333,D74=rekentool!$A$5,C74/3,D74="",C74)</f>
        <v>-41.66</v>
      </c>
      <c r="F74" s="127"/>
      <c r="G74" s="125"/>
    </row>
    <row r="75" spans="1:7" ht="13.5" thickTop="1">
      <c r="A75" s="140"/>
      <c r="B75" s="119" t="s">
        <v>76</v>
      </c>
      <c r="C75" s="141" t="s">
        <v>3</v>
      </c>
      <c r="D75" s="121" t="s">
        <v>90</v>
      </c>
      <c r="E75" s="92"/>
      <c r="F75" s="134"/>
      <c r="G75" s="76"/>
    </row>
    <row r="76" spans="1:7">
      <c r="A76" s="182" t="s">
        <v>77</v>
      </c>
      <c r="B76" s="182"/>
      <c r="C76" s="129">
        <v>110.5</v>
      </c>
      <c r="D76" s="106" t="s">
        <v>7</v>
      </c>
      <c r="E76" s="92" cm="1">
        <f t="array" ref="E76">_xlfn.IFS(D76=rekentool!$A$2,C76,D76=rekentool!$A$3,C76/12,D76=rekentool!$A$4,C76*1.0833333,D76=rekentool!$A$5,C76/3,D76="",C76)</f>
        <v>110.5</v>
      </c>
      <c r="F76" s="124"/>
      <c r="G76" s="125"/>
    </row>
    <row r="77" spans="1:7">
      <c r="A77" s="182" t="s">
        <v>78</v>
      </c>
      <c r="B77" s="182"/>
      <c r="C77" s="98">
        <v>125</v>
      </c>
      <c r="D77" s="106" t="s">
        <v>7</v>
      </c>
      <c r="E77" s="92" cm="1">
        <f t="array" ref="E77">_xlfn.IFS(D77=rekentool!$A$2,C77,D77=rekentool!$A$3,C77/12,D77=rekentool!$A$4,C77*1.0833333,D77=rekentool!$A$5,C77/3,D77="",C77)</f>
        <v>125</v>
      </c>
      <c r="F77" s="126"/>
      <c r="G77" s="125"/>
    </row>
    <row r="78" spans="1:7" ht="13.5" thickBot="1">
      <c r="A78" s="182" t="s">
        <v>79</v>
      </c>
      <c r="B78" s="182"/>
      <c r="C78" s="98">
        <v>100</v>
      </c>
      <c r="D78" s="106" t="s">
        <v>7</v>
      </c>
      <c r="E78" s="92" cm="1">
        <f t="array" ref="E78">_xlfn.IFS(D78=rekentool!$A$2,C78,D78=rekentool!$A$3,C78/12,D78=rekentool!$A$4,C78*1.0833333,D78=rekentool!$A$5,C78/3,D78="",C78)</f>
        <v>100</v>
      </c>
      <c r="F78" s="126"/>
      <c r="G78" s="125"/>
    </row>
    <row r="79" spans="1:7" ht="14" thickTop="1" thickBot="1">
      <c r="A79" s="182" t="s">
        <v>85</v>
      </c>
      <c r="B79" s="182"/>
      <c r="C79" s="139">
        <v>200</v>
      </c>
      <c r="D79" s="143"/>
      <c r="E79" s="92" cm="1">
        <f t="array" ref="E79">_xlfn.IFS(D79=rekentool!$A$2,C79,D79=rekentool!$A$3,C79/12,D79=rekentool!$A$4,C79*1.0833333,D79=rekentool!$A$5,C79/3,D79="",C79)</f>
        <v>200</v>
      </c>
      <c r="F79" s="127"/>
      <c r="G79" s="125"/>
    </row>
    <row r="80" spans="1:7" ht="13.5" thickTop="1">
      <c r="A80" s="76"/>
      <c r="B80" s="183" t="s">
        <v>86</v>
      </c>
      <c r="C80" s="183"/>
      <c r="D80" s="183"/>
      <c r="E80" s="144">
        <f>SUM(E27:E79)</f>
        <v>3575.916666666667</v>
      </c>
      <c r="F80" s="125"/>
      <c r="G80" s="76"/>
    </row>
    <row r="81" spans="1:7">
      <c r="A81" s="42"/>
      <c r="B81" s="42"/>
      <c r="C81" s="42"/>
      <c r="D81" s="42"/>
      <c r="E81" s="42"/>
      <c r="F81" s="43"/>
      <c r="G81" s="43"/>
    </row>
    <row r="82" spans="1:7">
      <c r="A82" s="42"/>
      <c r="B82" s="184" t="s">
        <v>87</v>
      </c>
      <c r="C82" s="184"/>
      <c r="D82" s="184"/>
      <c r="E82" s="44">
        <f>E24-E80</f>
        <v>683.94043478260846</v>
      </c>
      <c r="F82" s="42"/>
      <c r="G82" s="42"/>
    </row>
    <row r="83" spans="1:7" ht="13.5" thickBot="1"/>
    <row r="84" spans="1:7">
      <c r="A84" s="152"/>
      <c r="B84" s="153" t="s">
        <v>137</v>
      </c>
      <c r="C84" s="154" t="s">
        <v>3</v>
      </c>
      <c r="D84" s="155" t="s">
        <v>89</v>
      </c>
      <c r="E84" s="156"/>
      <c r="F84" s="157"/>
      <c r="G84" s="158"/>
    </row>
    <row r="85" spans="1:7">
      <c r="A85" s="180" t="s">
        <v>80</v>
      </c>
      <c r="B85" s="181"/>
      <c r="C85" s="151">
        <f>IF(rekentool!O3,Vast!E82/rekentool!N4,"")</f>
        <v>170.98510869565212</v>
      </c>
      <c r="D85" s="87" t="s">
        <v>7</v>
      </c>
      <c r="E85" s="207" t="str">
        <f>IF(C85="","",rekentool!$N$6)</f>
        <v>In een jaar kun je € 2.051,82 sparen</v>
      </c>
      <c r="F85" s="207"/>
      <c r="G85" s="159"/>
    </row>
    <row r="86" spans="1:7">
      <c r="A86" s="180" t="s">
        <v>81</v>
      </c>
      <c r="B86" s="181"/>
      <c r="C86" s="149">
        <f>IF(rekentool!N3,Vast!E82/rekentool!N4,"")</f>
        <v>170.98510869565212</v>
      </c>
      <c r="D86" s="106" t="s">
        <v>7</v>
      </c>
      <c r="E86" s="208" t="str">
        <f>IFERROR(rekentool!$N$6,0)</f>
        <v>In een jaar kun je € 2.051,82 sparen</v>
      </c>
      <c r="F86" s="208"/>
      <c r="G86" s="159"/>
    </row>
    <row r="87" spans="1:7">
      <c r="A87" s="180" t="s">
        <v>82</v>
      </c>
      <c r="B87" s="181"/>
      <c r="C87" s="149">
        <f>IF(rekentool!N3,Vast!E82/rekentool!N4,"")</f>
        <v>170.98510869565212</v>
      </c>
      <c r="D87" s="106" t="s">
        <v>7</v>
      </c>
      <c r="E87" s="208" t="str">
        <f>IFERROR(rekentool!$N$6,0)</f>
        <v>In een jaar kun je € 2.051,82 sparen</v>
      </c>
      <c r="F87" s="208"/>
      <c r="G87" s="159"/>
    </row>
    <row r="88" spans="1:7">
      <c r="A88" s="180" t="s">
        <v>83</v>
      </c>
      <c r="B88" s="181"/>
      <c r="C88" s="149" t="str">
        <f>IF(rekentool!P3,Vast!E82/rekentool!N4,"")</f>
        <v/>
      </c>
      <c r="D88" s="106" t="s">
        <v>7</v>
      </c>
      <c r="E88" s="207" t="str">
        <f>IF(C88="","",rekentool!$N$6)</f>
        <v/>
      </c>
      <c r="F88" s="207"/>
      <c r="G88" s="159"/>
    </row>
    <row r="89" spans="1:7" ht="13.5" thickBot="1">
      <c r="A89" s="180" t="s">
        <v>84</v>
      </c>
      <c r="B89" s="181"/>
      <c r="C89" s="150">
        <f>IF(rekentool!N3,Vast!E82/rekentool!N4,"")</f>
        <v>170.98510869565212</v>
      </c>
      <c r="D89" s="102" t="s">
        <v>7</v>
      </c>
      <c r="E89" s="208" t="str">
        <f>IFERROR(rekentool!$N$6,0)</f>
        <v>In een jaar kun je € 2.051,82 sparen</v>
      </c>
      <c r="F89" s="208"/>
      <c r="G89" s="159"/>
    </row>
    <row r="90" spans="1:7" ht="15.5" customHeight="1" thickBot="1">
      <c r="A90" s="160"/>
      <c r="B90" s="161" t="s">
        <v>138</v>
      </c>
      <c r="C90" s="148">
        <f>SUM(C85:C89)</f>
        <v>683.94043478260846</v>
      </c>
      <c r="D90" s="162" t="s">
        <v>139</v>
      </c>
      <c r="E90" s="165">
        <f>C90*12</f>
        <v>8207.2852173913016</v>
      </c>
      <c r="F90" s="163"/>
      <c r="G90" s="164"/>
    </row>
  </sheetData>
  <mergeCells count="82">
    <mergeCell ref="E85:F85"/>
    <mergeCell ref="E86:F86"/>
    <mergeCell ref="E87:F87"/>
    <mergeCell ref="E88:F88"/>
    <mergeCell ref="E89:F89"/>
    <mergeCell ref="A13:B13"/>
    <mergeCell ref="A1:G1"/>
    <mergeCell ref="C2:D2"/>
    <mergeCell ref="E2:F2"/>
    <mergeCell ref="E3:F3"/>
    <mergeCell ref="E4:F4"/>
    <mergeCell ref="E5:F5"/>
    <mergeCell ref="A2:A9"/>
    <mergeCell ref="E6:F6"/>
    <mergeCell ref="E7:F7"/>
    <mergeCell ref="E8:F8"/>
    <mergeCell ref="E9:F9"/>
    <mergeCell ref="E10:F10"/>
    <mergeCell ref="A19:B19"/>
    <mergeCell ref="A20:B20"/>
    <mergeCell ref="A21:B21"/>
    <mergeCell ref="A22:B22"/>
    <mergeCell ref="A23:B23"/>
    <mergeCell ref="A14:B14"/>
    <mergeCell ref="A15:B15"/>
    <mergeCell ref="A16:B16"/>
    <mergeCell ref="A17:B17"/>
    <mergeCell ref="A18:B18"/>
    <mergeCell ref="C24:D24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A53:B53"/>
    <mergeCell ref="A41:B41"/>
    <mergeCell ref="A42:B42"/>
    <mergeCell ref="A43:B43"/>
    <mergeCell ref="A44:B44"/>
    <mergeCell ref="A45:B45"/>
    <mergeCell ref="A46:B46"/>
    <mergeCell ref="A47:B47"/>
    <mergeCell ref="A48:B48"/>
    <mergeCell ref="A50:B50"/>
    <mergeCell ref="A51:B51"/>
    <mergeCell ref="A52:B52"/>
    <mergeCell ref="A68:B68"/>
    <mergeCell ref="A54:B54"/>
    <mergeCell ref="A55:B55"/>
    <mergeCell ref="A59:B59"/>
    <mergeCell ref="A60:B60"/>
    <mergeCell ref="A61:B61"/>
    <mergeCell ref="A62:B62"/>
    <mergeCell ref="A63:B63"/>
    <mergeCell ref="A64:B64"/>
    <mergeCell ref="A65:B65"/>
    <mergeCell ref="A67:B67"/>
    <mergeCell ref="A74:B74"/>
    <mergeCell ref="A76:B76"/>
    <mergeCell ref="A77:B77"/>
    <mergeCell ref="A78:B78"/>
    <mergeCell ref="A85:B85"/>
    <mergeCell ref="A69:B69"/>
    <mergeCell ref="A70:B70"/>
    <mergeCell ref="A71:B71"/>
    <mergeCell ref="A72:B72"/>
    <mergeCell ref="A73:B73"/>
    <mergeCell ref="A88:B88"/>
    <mergeCell ref="A89:B89"/>
    <mergeCell ref="A79:B79"/>
    <mergeCell ref="B80:D80"/>
    <mergeCell ref="B82:D82"/>
    <mergeCell ref="A87:B87"/>
    <mergeCell ref="A86:B86"/>
  </mergeCells>
  <conditionalFormatting sqref="E82">
    <cfRule type="cellIs" dxfId="6" priority="5" operator="greaterThan">
      <formula>0</formula>
    </cfRule>
    <cfRule type="cellIs" dxfId="5" priority="6" operator="lessThan">
      <formula>"&lt;=0"</formula>
    </cfRule>
  </conditionalFormatting>
  <conditionalFormatting sqref="G3:G8">
    <cfRule type="expression" dxfId="4" priority="7">
      <formula>#REF!=""</formula>
    </cfRule>
  </conditionalFormatting>
  <conditionalFormatting sqref="C88">
    <cfRule type="expression" dxfId="3" priority="3">
      <formula>$A$11="Nee"</formula>
    </cfRule>
  </conditionalFormatting>
  <conditionalFormatting sqref="E88">
    <cfRule type="expression" dxfId="2" priority="2">
      <formula>$A$11="Nee"</formula>
    </cfRule>
  </conditionalFormatting>
  <dataValidations count="1">
    <dataValidation type="list" allowBlank="1" showInputMessage="1" showErrorMessage="1" sqref="A11" xr:uid="{B2BFF74B-EC28-4385-A2DC-A15A434703B8}">
      <formula1>"Ja,Nee"</formula1>
    </dataValidation>
  </dataValidations>
  <pageMargins left="0.7" right="0.7" top="0.75" bottom="0.75" header="0.3" footer="0.3"/>
  <pageSetup paperSize="9" scale="9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onInvoerForm">
                <anchor moveWithCells="1" sizeWithCells="1">
                  <from>
                    <xdr:col>10</xdr:col>
                    <xdr:colOff>361950</xdr:colOff>
                    <xdr:row>3</xdr:row>
                    <xdr:rowOff>88900</xdr:rowOff>
                  </from>
                  <to>
                    <xdr:col>12</xdr:col>
                    <xdr:colOff>165100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CFB33279-58FF-456B-BAAD-BB8A3087EFAD}">
            <xm:f>rekentool!$E$19=TRUE</xm:f>
            <x14:dxf>
              <fill>
                <patternFill patternType="lightGrid">
                  <fgColor theme="1" tint="0.14996795556505021"/>
                  <bgColor rgb="FFFFC000"/>
                </patternFill>
              </fill>
              <border>
                <bottom/>
                <vertical/>
                <horizontal/>
              </border>
            </x14:dxf>
          </x14:cfRule>
          <xm:sqref>C76:C79 C85</xm:sqref>
        </x14:conditionalFormatting>
        <x14:conditionalFormatting xmlns:xm="http://schemas.microsoft.com/office/excel/2006/main">
          <x14:cfRule type="expression" priority="1" id="{D6B24104-3EAA-4119-8E8C-2F70CEADE39B}">
            <xm:f>rekentool!$E$19=TRUE</xm:f>
            <x14:dxf>
              <fill>
                <patternFill patternType="lightGrid">
                  <fgColor theme="1" tint="0.14996795556505021"/>
                  <bgColor rgb="FFFFC000"/>
                </patternFill>
              </fill>
              <border>
                <bottom/>
                <vertical/>
                <horizontal/>
              </border>
            </x14:dxf>
          </x14:cfRule>
          <xm:sqref>E85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AC52CF-1844-403A-A520-70C674187094}">
          <x14:formula1>
            <xm:f>rekentool!$A$1:$A$5</xm:f>
          </x14:formula1>
          <xm:sqref>D13 D55 D16 D79 D67:D74 D60:D65 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83165-EAF6-4107-BEB9-EF322A638873}">
  <sheetPr codeName="Blad8"/>
  <dimension ref="A1:B11"/>
  <sheetViews>
    <sheetView workbookViewId="0">
      <selection activeCell="G15" sqref="G15"/>
    </sheetView>
  </sheetViews>
  <sheetFormatPr defaultRowHeight="14.5"/>
  <cols>
    <col min="1" max="1" width="22.453125" bestFit="1" customWidth="1"/>
    <col min="2" max="2" width="8.7265625" style="178"/>
  </cols>
  <sheetData>
    <row r="1" spans="1:2">
      <c r="A1" s="177" t="s">
        <v>157</v>
      </c>
    </row>
    <row r="3" spans="1:2">
      <c r="A3" s="177" t="s">
        <v>158</v>
      </c>
    </row>
    <row r="4" spans="1:2">
      <c r="A4" t="s">
        <v>159</v>
      </c>
      <c r="B4" s="178" t="s">
        <v>3</v>
      </c>
    </row>
    <row r="5" spans="1:2">
      <c r="A5" t="s">
        <v>26</v>
      </c>
      <c r="B5" s="178">
        <v>0</v>
      </c>
    </row>
    <row r="7" spans="1:2">
      <c r="A7" s="177" t="s">
        <v>160</v>
      </c>
    </row>
    <row r="8" spans="1:2">
      <c r="A8" t="s">
        <v>2</v>
      </c>
      <c r="B8" s="178" t="s">
        <v>3</v>
      </c>
    </row>
    <row r="9" spans="1:2">
      <c r="A9" t="s">
        <v>86</v>
      </c>
      <c r="B9" s="178">
        <v>0</v>
      </c>
    </row>
    <row r="11" spans="1:2">
      <c r="A11" t="s">
        <v>161</v>
      </c>
      <c r="B11" s="178">
        <f>B5-B9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28DE2-53A4-4C4D-9DCB-9FB3DB446AEE}">
  <sheetPr codeName="Blad7"/>
  <dimension ref="A1:D3"/>
  <sheetViews>
    <sheetView workbookViewId="0"/>
  </sheetViews>
  <sheetFormatPr defaultRowHeight="14.5"/>
  <cols>
    <col min="1" max="1" width="15.1796875" bestFit="1" customWidth="1"/>
    <col min="3" max="3" width="18.90625" bestFit="1" customWidth="1"/>
    <col min="4" max="4" width="11.26953125" bestFit="1" customWidth="1"/>
  </cols>
  <sheetData>
    <row r="1" spans="1:4">
      <c r="A1" t="s">
        <v>0</v>
      </c>
      <c r="B1" t="s">
        <v>197</v>
      </c>
      <c r="C1" t="s">
        <v>198</v>
      </c>
      <c r="D1" t="s">
        <v>199</v>
      </c>
    </row>
    <row r="2" spans="1:4">
      <c r="A2" s="179">
        <v>45985.778449074074</v>
      </c>
      <c r="B2" t="s">
        <v>200</v>
      </c>
      <c r="C2" t="s">
        <v>201</v>
      </c>
      <c r="D2" t="s">
        <v>202</v>
      </c>
    </row>
    <row r="3" spans="1:4">
      <c r="A3" s="179">
        <v>45986.804583333331</v>
      </c>
      <c r="B3" t="s">
        <v>200</v>
      </c>
      <c r="C3" t="s">
        <v>201</v>
      </c>
      <c r="D3" t="s">
        <v>202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6FD34-3E08-4793-BE68-83B4F0A767BD}">
  <sheetPr codeName="Blad6"/>
  <dimension ref="A1:AF85"/>
  <sheetViews>
    <sheetView tabSelected="1" topLeftCell="A73" workbookViewId="0">
      <selection activeCell="A59" sqref="A59:D85"/>
    </sheetView>
  </sheetViews>
  <sheetFormatPr defaultRowHeight="14.5"/>
  <cols>
    <col min="1" max="1" width="9.1796875" customWidth="1"/>
    <col min="3" max="3" width="13" bestFit="1" customWidth="1"/>
    <col min="4" max="4" width="13.6328125" customWidth="1"/>
    <col min="5" max="5" width="9.1796875" customWidth="1"/>
    <col min="12" max="12" width="13.7265625" customWidth="1"/>
    <col min="13" max="13" width="8.90625" customWidth="1"/>
    <col min="14" max="14" width="9.1796875" customWidth="1"/>
    <col min="17" max="17" width="14.36328125" customWidth="1"/>
    <col min="18" max="18" width="13.1796875" customWidth="1"/>
    <col min="19" max="19" width="14.08984375" bestFit="1" customWidth="1"/>
  </cols>
  <sheetData>
    <row r="1" spans="1:32">
      <c r="A1" t="s">
        <v>2</v>
      </c>
      <c r="C1" t="s">
        <v>2</v>
      </c>
      <c r="D1" t="s">
        <v>162</v>
      </c>
      <c r="K1" t="s">
        <v>203</v>
      </c>
      <c r="L1" t="s">
        <v>204</v>
      </c>
      <c r="M1" t="s">
        <v>205</v>
      </c>
      <c r="N1" t="s">
        <v>206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  <c r="X1" t="s">
        <v>212</v>
      </c>
      <c r="Y1" t="s">
        <v>218</v>
      </c>
      <c r="Z1">
        <v>80</v>
      </c>
      <c r="AA1">
        <v>28</v>
      </c>
      <c r="AB1">
        <v>280</v>
      </c>
      <c r="AC1">
        <v>428</v>
      </c>
      <c r="AD1" t="s">
        <v>219</v>
      </c>
      <c r="AE1" t="s">
        <v>220</v>
      </c>
      <c r="AF1" t="s">
        <v>221</v>
      </c>
    </row>
    <row r="2" spans="1:32">
      <c r="C2" t="s">
        <v>168</v>
      </c>
      <c r="D2" t="s">
        <v>181</v>
      </c>
      <c r="K2" t="s">
        <v>212</v>
      </c>
      <c r="L2" t="s">
        <v>218</v>
      </c>
      <c r="M2">
        <v>80</v>
      </c>
      <c r="N2">
        <v>28</v>
      </c>
      <c r="O2">
        <v>280</v>
      </c>
      <c r="P2">
        <v>428</v>
      </c>
      <c r="Q2" t="s">
        <v>219</v>
      </c>
      <c r="R2" t="s">
        <v>220</v>
      </c>
      <c r="S2" t="s">
        <v>221</v>
      </c>
      <c r="X2" t="s">
        <v>213</v>
      </c>
      <c r="Y2" t="s">
        <v>222</v>
      </c>
      <c r="Z2">
        <v>100</v>
      </c>
      <c r="AA2">
        <v>28</v>
      </c>
      <c r="AB2">
        <v>376</v>
      </c>
      <c r="AC2">
        <v>428</v>
      </c>
      <c r="AD2" t="s">
        <v>219</v>
      </c>
      <c r="AE2" t="s">
        <v>220</v>
      </c>
      <c r="AF2" t="s">
        <v>223</v>
      </c>
    </row>
    <row r="3" spans="1:32">
      <c r="C3" t="s">
        <v>168</v>
      </c>
      <c r="D3" t="s">
        <v>192</v>
      </c>
      <c r="K3" t="s">
        <v>213</v>
      </c>
      <c r="L3" t="s">
        <v>222</v>
      </c>
      <c r="M3">
        <v>100</v>
      </c>
      <c r="N3">
        <v>28</v>
      </c>
      <c r="O3">
        <v>376</v>
      </c>
      <c r="P3">
        <v>428</v>
      </c>
      <c r="Q3" t="s">
        <v>219</v>
      </c>
      <c r="R3" t="s">
        <v>220</v>
      </c>
      <c r="S3" t="s">
        <v>223</v>
      </c>
      <c r="X3" t="s">
        <v>214</v>
      </c>
      <c r="Y3" t="s">
        <v>222</v>
      </c>
      <c r="Z3">
        <v>100</v>
      </c>
      <c r="AA3">
        <v>28</v>
      </c>
      <c r="AB3">
        <v>486</v>
      </c>
      <c r="AC3">
        <v>428</v>
      </c>
      <c r="AD3" t="s">
        <v>224</v>
      </c>
      <c r="AE3" t="s">
        <v>225</v>
      </c>
      <c r="AF3" t="s">
        <v>226</v>
      </c>
    </row>
    <row r="4" spans="1:32">
      <c r="C4" t="s">
        <v>168</v>
      </c>
      <c r="D4" t="s">
        <v>180</v>
      </c>
      <c r="K4" t="s">
        <v>214</v>
      </c>
      <c r="L4" t="s">
        <v>222</v>
      </c>
      <c r="M4">
        <v>100</v>
      </c>
      <c r="N4">
        <v>28</v>
      </c>
      <c r="O4">
        <v>486</v>
      </c>
      <c r="P4">
        <v>428</v>
      </c>
      <c r="Q4" t="s">
        <v>224</v>
      </c>
      <c r="R4" t="s">
        <v>225</v>
      </c>
      <c r="S4" t="s">
        <v>226</v>
      </c>
      <c r="X4" t="s">
        <v>215</v>
      </c>
      <c r="Y4" t="s">
        <v>222</v>
      </c>
      <c r="Z4">
        <v>100</v>
      </c>
      <c r="AA4">
        <v>28</v>
      </c>
      <c r="AB4">
        <v>596</v>
      </c>
      <c r="AC4">
        <v>428</v>
      </c>
      <c r="AD4" t="s">
        <v>227</v>
      </c>
      <c r="AE4" t="s">
        <v>228</v>
      </c>
      <c r="AF4" t="s">
        <v>229</v>
      </c>
    </row>
    <row r="5" spans="1:32">
      <c r="C5" t="s">
        <v>169</v>
      </c>
      <c r="D5" t="s">
        <v>181</v>
      </c>
      <c r="K5" t="s">
        <v>215</v>
      </c>
      <c r="L5" t="s">
        <v>222</v>
      </c>
      <c r="M5">
        <v>100</v>
      </c>
      <c r="N5">
        <v>28</v>
      </c>
      <c r="O5">
        <v>596</v>
      </c>
      <c r="P5">
        <v>428</v>
      </c>
      <c r="Q5" t="s">
        <v>227</v>
      </c>
      <c r="R5" t="s">
        <v>228</v>
      </c>
      <c r="S5" t="s">
        <v>229</v>
      </c>
      <c r="X5" t="s">
        <v>216</v>
      </c>
      <c r="Y5" t="s">
        <v>230</v>
      </c>
      <c r="Z5">
        <v>28</v>
      </c>
      <c r="AA5">
        <v>28</v>
      </c>
      <c r="AB5">
        <v>692</v>
      </c>
      <c r="AC5">
        <v>80</v>
      </c>
      <c r="AD5" t="s">
        <v>219</v>
      </c>
      <c r="AE5" t="s">
        <v>220</v>
      </c>
      <c r="AF5" t="e" cm="1">
        <f t="array" ref="AF5">+ row</f>
        <v>#NAME?</v>
      </c>
    </row>
    <row r="6" spans="1:32">
      <c r="C6" t="s">
        <v>169</v>
      </c>
      <c r="D6" t="s">
        <v>192</v>
      </c>
      <c r="K6" t="s">
        <v>216</v>
      </c>
      <c r="L6" t="s">
        <v>230</v>
      </c>
      <c r="M6">
        <v>28</v>
      </c>
      <c r="N6">
        <v>28</v>
      </c>
      <c r="O6">
        <v>692</v>
      </c>
      <c r="P6">
        <v>80</v>
      </c>
      <c r="Q6" t="s">
        <v>219</v>
      </c>
      <c r="R6" t="s">
        <v>220</v>
      </c>
      <c r="S6" t="e" cm="1">
        <f t="array" ref="S6">+ row</f>
        <v>#NAME?</v>
      </c>
      <c r="X6" t="s">
        <v>217</v>
      </c>
      <c r="Y6" t="s">
        <v>230</v>
      </c>
      <c r="Z6">
        <v>28</v>
      </c>
      <c r="AA6">
        <v>28</v>
      </c>
      <c r="AB6">
        <v>724</v>
      </c>
      <c r="AC6">
        <v>80</v>
      </c>
      <c r="AD6" t="s">
        <v>227</v>
      </c>
      <c r="AE6" t="s">
        <v>228</v>
      </c>
      <c r="AF6" t="e" cm="1">
        <f t="array" ref="AF6">- row</f>
        <v>#NAME?</v>
      </c>
    </row>
    <row r="7" spans="1:32">
      <c r="C7" t="s">
        <v>169</v>
      </c>
      <c r="D7" t="s">
        <v>180</v>
      </c>
      <c r="K7" t="s">
        <v>217</v>
      </c>
      <c r="L7" t="s">
        <v>230</v>
      </c>
      <c r="M7">
        <v>28</v>
      </c>
      <c r="N7">
        <v>28</v>
      </c>
      <c r="O7">
        <v>724</v>
      </c>
      <c r="P7">
        <v>80</v>
      </c>
      <c r="Q7" t="s">
        <v>227</v>
      </c>
      <c r="R7" t="s">
        <v>228</v>
      </c>
      <c r="S7" t="e" cm="1">
        <f t="array" ref="S7">- row</f>
        <v>#NAME?</v>
      </c>
    </row>
    <row r="59" spans="1:4">
      <c r="A59" t="s">
        <v>2</v>
      </c>
      <c r="C59" t="s">
        <v>2</v>
      </c>
      <c r="D59" t="s">
        <v>162</v>
      </c>
    </row>
    <row r="60" spans="1:4">
      <c r="A60" t="s">
        <v>167</v>
      </c>
      <c r="C60" t="s">
        <v>167</v>
      </c>
      <c r="D60" t="s">
        <v>112</v>
      </c>
    </row>
    <row r="61" spans="1:4">
      <c r="A61" t="s">
        <v>163</v>
      </c>
      <c r="C61" t="s">
        <v>167</v>
      </c>
      <c r="D61" t="s">
        <v>180</v>
      </c>
    </row>
    <row r="62" spans="1:4">
      <c r="A62" t="s">
        <v>170</v>
      </c>
      <c r="C62" t="s">
        <v>170</v>
      </c>
      <c r="D62" t="s">
        <v>186</v>
      </c>
    </row>
    <row r="63" spans="1:4">
      <c r="A63" t="s">
        <v>164</v>
      </c>
      <c r="C63" t="s">
        <v>170</v>
      </c>
      <c r="D63" t="s">
        <v>187</v>
      </c>
    </row>
    <row r="64" spans="1:4">
      <c r="A64" t="s">
        <v>166</v>
      </c>
      <c r="C64" t="s">
        <v>170</v>
      </c>
      <c r="D64" t="s">
        <v>188</v>
      </c>
    </row>
    <row r="65" spans="1:4">
      <c r="A65" t="s">
        <v>169</v>
      </c>
      <c r="C65" t="s">
        <v>164</v>
      </c>
      <c r="D65" t="s">
        <v>175</v>
      </c>
    </row>
    <row r="66" spans="1:4">
      <c r="A66" t="s">
        <v>168</v>
      </c>
      <c r="C66" t="s">
        <v>164</v>
      </c>
      <c r="D66" t="s">
        <v>176</v>
      </c>
    </row>
    <row r="67" spans="1:4">
      <c r="A67" t="s">
        <v>8</v>
      </c>
      <c r="C67" t="s">
        <v>166</v>
      </c>
      <c r="D67" t="s">
        <v>177</v>
      </c>
    </row>
    <row r="68" spans="1:4">
      <c r="A68" t="s">
        <v>165</v>
      </c>
      <c r="C68" t="s">
        <v>166</v>
      </c>
      <c r="D68" t="s">
        <v>178</v>
      </c>
    </row>
    <row r="69" spans="1:4">
      <c r="A69" t="s">
        <v>6</v>
      </c>
      <c r="C69" t="s">
        <v>166</v>
      </c>
      <c r="D69" t="s">
        <v>179</v>
      </c>
    </row>
    <row r="70" spans="1:4">
      <c r="A70" t="s">
        <v>112</v>
      </c>
      <c r="C70" t="s">
        <v>169</v>
      </c>
      <c r="D70" t="s">
        <v>181</v>
      </c>
    </row>
    <row r="71" spans="1:4">
      <c r="A71" t="s">
        <v>189</v>
      </c>
      <c r="C71" t="s">
        <v>169</v>
      </c>
      <c r="D71" t="s">
        <v>180</v>
      </c>
    </row>
    <row r="72" spans="1:4">
      <c r="A72" t="s">
        <v>190</v>
      </c>
      <c r="C72" t="s">
        <v>169</v>
      </c>
      <c r="D72" t="s">
        <v>182</v>
      </c>
    </row>
    <row r="73" spans="1:4">
      <c r="A73" t="s">
        <v>191</v>
      </c>
      <c r="C73" t="s">
        <v>169</v>
      </c>
      <c r="D73" t="s">
        <v>183</v>
      </c>
    </row>
    <row r="74" spans="1:4">
      <c r="C74" t="s">
        <v>169</v>
      </c>
      <c r="D74" t="s">
        <v>184</v>
      </c>
    </row>
    <row r="75" spans="1:4">
      <c r="C75" t="s">
        <v>169</v>
      </c>
      <c r="D75" t="s">
        <v>185</v>
      </c>
    </row>
    <row r="76" spans="1:4">
      <c r="C76" t="s">
        <v>168</v>
      </c>
      <c r="D76" t="s">
        <v>181</v>
      </c>
    </row>
    <row r="77" spans="1:4">
      <c r="C77" t="s">
        <v>168</v>
      </c>
      <c r="D77" t="s">
        <v>180</v>
      </c>
    </row>
    <row r="78" spans="1:4">
      <c r="C78" t="s">
        <v>168</v>
      </c>
      <c r="D78" t="s">
        <v>182</v>
      </c>
    </row>
    <row r="79" spans="1:4">
      <c r="C79" t="s">
        <v>168</v>
      </c>
      <c r="D79" t="s">
        <v>183</v>
      </c>
    </row>
    <row r="80" spans="1:4">
      <c r="C80" t="s">
        <v>168</v>
      </c>
      <c r="D80" t="s">
        <v>184</v>
      </c>
    </row>
    <row r="81" spans="3:4">
      <c r="C81" t="s">
        <v>168</v>
      </c>
      <c r="D81" t="s">
        <v>185</v>
      </c>
    </row>
    <row r="82" spans="3:4">
      <c r="C82" t="s">
        <v>165</v>
      </c>
      <c r="D82" t="s">
        <v>173</v>
      </c>
    </row>
    <row r="83" spans="3:4">
      <c r="C83" t="s">
        <v>165</v>
      </c>
      <c r="D83" t="s">
        <v>174</v>
      </c>
    </row>
    <row r="84" spans="3:4">
      <c r="C84" t="s">
        <v>6</v>
      </c>
      <c r="D84" t="s">
        <v>171</v>
      </c>
    </row>
    <row r="85" spans="3:4">
      <c r="C85" t="s">
        <v>6</v>
      </c>
      <c r="D85" t="s">
        <v>172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P239"/>
  <sheetViews>
    <sheetView workbookViewId="0">
      <selection activeCell="D15" sqref="D15"/>
    </sheetView>
  </sheetViews>
  <sheetFormatPr defaultRowHeight="13"/>
  <cols>
    <col min="1" max="1" width="14.26953125" style="4" customWidth="1"/>
    <col min="2" max="2" width="22.453125" style="4" bestFit="1" customWidth="1"/>
    <col min="3" max="5" width="8.7265625" style="4"/>
    <col min="6" max="6" width="23" style="4" customWidth="1"/>
    <col min="7" max="7" width="13.453125" style="4" customWidth="1"/>
    <col min="8" max="8" width="20.36328125" style="4" customWidth="1"/>
    <col min="9" max="9" width="25.26953125" style="4" bestFit="1" customWidth="1"/>
    <col min="10" max="10" width="14" style="4" customWidth="1"/>
    <col min="11" max="11" width="14.81640625" style="4" bestFit="1" customWidth="1"/>
    <col min="12" max="12" width="8.7265625" style="4"/>
    <col min="13" max="13" width="8.81640625" style="4" bestFit="1" customWidth="1"/>
    <col min="14" max="16384" width="8.7265625" style="4"/>
  </cols>
  <sheetData>
    <row r="1" spans="1:16">
      <c r="A1" s="23"/>
      <c r="B1" s="23"/>
      <c r="C1" s="23"/>
      <c r="D1" s="23"/>
      <c r="E1" s="6"/>
      <c r="H1" s="17"/>
      <c r="K1" s="6"/>
      <c r="L1" s="17"/>
    </row>
    <row r="2" spans="1:16">
      <c r="A2" s="24"/>
      <c r="B2" s="23"/>
      <c r="C2" s="24"/>
      <c r="D2" s="24"/>
      <c r="E2" s="25"/>
      <c r="I2" s="22"/>
      <c r="L2" s="18"/>
      <c r="M2" s="18"/>
      <c r="N2" s="19"/>
      <c r="O2" s="19"/>
      <c r="P2" s="19"/>
    </row>
    <row r="3" spans="1:16">
      <c r="A3" s="26"/>
      <c r="B3" s="27"/>
      <c r="C3" s="28"/>
      <c r="D3" s="29"/>
      <c r="E3" s="28"/>
      <c r="F3" s="30"/>
      <c r="G3" s="30"/>
      <c r="H3" s="9"/>
      <c r="I3" s="7"/>
      <c r="M3" s="20"/>
      <c r="N3" s="21"/>
      <c r="O3" s="8"/>
      <c r="P3" s="9"/>
    </row>
    <row r="4" spans="1:16">
      <c r="A4" s="31"/>
      <c r="B4" s="7"/>
      <c r="C4" s="32"/>
      <c r="D4" s="33"/>
      <c r="E4" s="34"/>
      <c r="F4" s="21"/>
      <c r="H4" s="9"/>
      <c r="I4" s="10"/>
      <c r="M4" s="20"/>
      <c r="N4" s="21"/>
      <c r="O4" s="8"/>
      <c r="P4" s="9"/>
    </row>
    <row r="5" spans="1:16">
      <c r="A5" s="26"/>
      <c r="B5" s="10"/>
      <c r="C5" s="32"/>
      <c r="D5" s="33"/>
      <c r="E5" s="34"/>
      <c r="F5" s="21"/>
      <c r="H5" s="9"/>
      <c r="I5" s="7"/>
      <c r="M5" s="20"/>
      <c r="N5" s="21"/>
      <c r="O5" s="8"/>
      <c r="P5" s="9"/>
    </row>
    <row r="6" spans="1:16">
      <c r="A6" s="26"/>
      <c r="B6" s="7"/>
      <c r="C6" s="32"/>
      <c r="D6" s="33"/>
      <c r="E6" s="34"/>
      <c r="F6" s="21"/>
      <c r="H6" s="11"/>
      <c r="I6" s="7"/>
      <c r="M6" s="20"/>
      <c r="N6" s="21"/>
      <c r="O6" s="8"/>
      <c r="P6" s="11"/>
    </row>
    <row r="7" spans="1:16">
      <c r="A7" s="26"/>
      <c r="B7" s="7"/>
      <c r="C7" s="32"/>
      <c r="D7" s="33"/>
      <c r="E7" s="34"/>
      <c r="F7" s="21"/>
      <c r="H7" s="11"/>
      <c r="I7" s="7"/>
      <c r="M7" s="20"/>
      <c r="N7" s="21"/>
      <c r="O7" s="8"/>
      <c r="P7" s="11"/>
    </row>
    <row r="8" spans="1:16">
      <c r="A8" s="26"/>
      <c r="B8" s="7"/>
      <c r="C8" s="32"/>
      <c r="D8" s="33"/>
      <c r="E8" s="34"/>
      <c r="F8" s="20"/>
      <c r="H8" s="11"/>
      <c r="I8" s="7"/>
      <c r="M8" s="20"/>
      <c r="N8" s="21"/>
      <c r="O8" s="8"/>
      <c r="P8" s="11"/>
    </row>
    <row r="9" spans="1:16">
      <c r="A9" s="26"/>
      <c r="B9" s="7"/>
      <c r="C9" s="32"/>
      <c r="D9" s="33"/>
      <c r="E9" s="34"/>
      <c r="F9" s="20"/>
      <c r="H9" s="11"/>
      <c r="I9" s="7"/>
      <c r="M9" s="20"/>
      <c r="N9" s="21"/>
      <c r="O9" s="8"/>
      <c r="P9" s="11"/>
    </row>
    <row r="10" spans="1:16">
      <c r="A10" s="26"/>
      <c r="B10" s="7"/>
      <c r="C10" s="32"/>
      <c r="D10" s="32"/>
      <c r="E10" s="34"/>
      <c r="F10" s="21"/>
      <c r="G10" s="8"/>
      <c r="H10" s="11"/>
      <c r="I10" s="7"/>
      <c r="M10" s="20"/>
      <c r="N10" s="21"/>
      <c r="O10" s="8"/>
      <c r="P10" s="11"/>
    </row>
    <row r="11" spans="1:16">
      <c r="A11" s="26"/>
      <c r="B11" s="7"/>
      <c r="C11" s="32"/>
      <c r="D11" s="32"/>
      <c r="E11" s="34"/>
      <c r="F11" s="21"/>
      <c r="G11" s="8"/>
      <c r="I11" s="7"/>
      <c r="M11" s="20"/>
      <c r="N11" s="21"/>
      <c r="O11" s="8"/>
    </row>
    <row r="12" spans="1:16">
      <c r="A12" s="26"/>
      <c r="B12" s="7"/>
      <c r="C12" s="35"/>
      <c r="D12" s="35"/>
      <c r="E12" s="34"/>
      <c r="F12" s="21"/>
      <c r="G12" s="8"/>
      <c r="I12" s="7"/>
      <c r="M12" s="20"/>
      <c r="N12" s="21"/>
      <c r="O12" s="8"/>
    </row>
    <row r="13" spans="1:16">
      <c r="A13" s="31"/>
      <c r="B13" s="7"/>
      <c r="C13" s="35"/>
      <c r="D13" s="35"/>
      <c r="E13" s="34"/>
      <c r="F13" s="21"/>
      <c r="G13" s="8"/>
      <c r="I13" s="7"/>
      <c r="M13" s="20"/>
      <c r="N13" s="21"/>
      <c r="O13" s="8"/>
    </row>
    <row r="14" spans="1:16">
      <c r="A14" s="26"/>
      <c r="B14" s="7"/>
      <c r="C14" s="28"/>
      <c r="D14" s="28"/>
      <c r="E14" s="34"/>
      <c r="F14" s="21"/>
      <c r="G14" s="8"/>
      <c r="I14" s="7"/>
      <c r="M14" s="20"/>
      <c r="N14" s="21"/>
      <c r="O14" s="8"/>
    </row>
    <row r="15" spans="1:16">
      <c r="A15" s="31"/>
      <c r="B15" s="7"/>
      <c r="C15" s="35"/>
      <c r="D15" s="35"/>
      <c r="E15" s="34"/>
      <c r="F15" s="21"/>
      <c r="G15" s="8"/>
      <c r="I15" s="7"/>
      <c r="M15" s="20"/>
      <c r="N15" s="21"/>
      <c r="O15" s="8"/>
    </row>
    <row r="16" spans="1:16">
      <c r="A16" s="25"/>
      <c r="B16" s="7"/>
      <c r="C16" s="35"/>
      <c r="D16" s="35"/>
      <c r="E16" s="34"/>
      <c r="F16" s="21"/>
      <c r="G16" s="8"/>
      <c r="M16" s="20"/>
      <c r="N16" s="21"/>
      <c r="O16" s="8"/>
    </row>
    <row r="17" spans="1:16">
      <c r="A17" s="25"/>
      <c r="C17" s="35"/>
      <c r="D17" s="35"/>
      <c r="E17" s="34"/>
      <c r="F17" s="21"/>
      <c r="G17" s="8"/>
      <c r="M17" s="20"/>
      <c r="N17" s="21"/>
      <c r="O17" s="8"/>
    </row>
    <row r="18" spans="1:16">
      <c r="A18" s="25"/>
      <c r="C18" s="35"/>
      <c r="D18" s="35"/>
      <c r="E18" s="34"/>
      <c r="F18" s="21"/>
      <c r="G18" s="8"/>
      <c r="M18" s="20"/>
      <c r="N18" s="21"/>
      <c r="O18" s="8"/>
    </row>
    <row r="19" spans="1:16">
      <c r="A19" s="25"/>
      <c r="C19" s="35"/>
      <c r="D19" s="35"/>
      <c r="E19" s="34"/>
      <c r="F19" s="21"/>
      <c r="G19" s="8"/>
      <c r="M19" s="20"/>
      <c r="N19" s="21"/>
      <c r="O19" s="8"/>
    </row>
    <row r="20" spans="1:16">
      <c r="A20" s="25"/>
      <c r="C20" s="35"/>
      <c r="D20" s="35"/>
      <c r="E20" s="34"/>
      <c r="F20" s="21"/>
      <c r="G20" s="8"/>
      <c r="M20" s="20"/>
      <c r="N20" s="21"/>
      <c r="O20" s="8"/>
    </row>
    <row r="21" spans="1:16" hidden="1">
      <c r="A21" s="31"/>
      <c r="C21" s="35"/>
      <c r="D21" s="35"/>
      <c r="E21" s="34"/>
      <c r="F21" s="21"/>
      <c r="G21" s="8"/>
      <c r="M21" s="20"/>
      <c r="N21" s="21"/>
      <c r="O21" s="8"/>
    </row>
    <row r="22" spans="1:16" hidden="1">
      <c r="A22" s="25"/>
      <c r="C22" s="35"/>
      <c r="D22" s="35"/>
      <c r="E22" s="34"/>
      <c r="F22" s="21"/>
      <c r="G22" s="8"/>
      <c r="M22" s="20"/>
      <c r="N22" s="21"/>
      <c r="O22" s="8"/>
    </row>
    <row r="23" spans="1:16" hidden="1">
      <c r="A23" s="25"/>
      <c r="C23" s="35"/>
      <c r="D23" s="35"/>
      <c r="E23" s="34"/>
      <c r="F23" s="21"/>
      <c r="G23" s="8"/>
      <c r="M23" s="20"/>
      <c r="N23" s="21"/>
      <c r="O23" s="8"/>
    </row>
    <row r="24" spans="1:16" hidden="1">
      <c r="A24" s="25"/>
      <c r="C24" s="35"/>
      <c r="D24" s="35"/>
      <c r="E24" s="34"/>
      <c r="F24" s="21"/>
      <c r="G24" s="8"/>
      <c r="I24" s="14"/>
      <c r="M24" s="12"/>
    </row>
    <row r="25" spans="1:16">
      <c r="A25" s="25"/>
      <c r="B25" s="36"/>
      <c r="C25" s="28"/>
      <c r="D25" s="28"/>
      <c r="E25" s="35"/>
      <c r="I25" s="6"/>
      <c r="L25" s="6"/>
      <c r="M25" s="6"/>
      <c r="N25" s="14"/>
      <c r="P25" s="12"/>
    </row>
    <row r="26" spans="1:16">
      <c r="A26" s="25"/>
      <c r="B26" s="14"/>
      <c r="C26" s="28"/>
      <c r="D26" s="28"/>
      <c r="E26" s="35"/>
      <c r="I26" s="13"/>
      <c r="J26" s="13"/>
      <c r="K26" s="13"/>
    </row>
    <row r="27" spans="1:16">
      <c r="A27" s="26"/>
      <c r="B27" s="36"/>
      <c r="C27" s="31"/>
      <c r="D27" s="31"/>
      <c r="E27" s="31"/>
      <c r="F27" s="36"/>
      <c r="G27" s="36"/>
      <c r="I27" s="13"/>
      <c r="J27" s="13"/>
      <c r="K27" s="13"/>
    </row>
    <row r="28" spans="1:16">
      <c r="A28" s="26"/>
      <c r="B28" s="37"/>
      <c r="C28" s="26"/>
      <c r="D28" s="26"/>
      <c r="E28" s="28"/>
      <c r="G28" s="13"/>
      <c r="J28" s="15"/>
      <c r="K28" s="15"/>
    </row>
    <row r="29" spans="1:16">
      <c r="A29" s="28"/>
      <c r="B29" s="38"/>
      <c r="C29" s="32"/>
      <c r="D29" s="33"/>
      <c r="E29" s="28"/>
      <c r="F29" s="21"/>
      <c r="J29" s="15"/>
      <c r="K29" s="15"/>
    </row>
    <row r="30" spans="1:16">
      <c r="A30" s="26"/>
      <c r="C30" s="32"/>
      <c r="D30" s="33"/>
      <c r="E30" s="28"/>
      <c r="F30" s="21"/>
      <c r="J30" s="15"/>
      <c r="K30" s="15"/>
    </row>
    <row r="31" spans="1:16">
      <c r="A31" s="26"/>
      <c r="C31" s="32"/>
      <c r="D31" s="33"/>
      <c r="E31" s="28"/>
      <c r="F31" s="21"/>
      <c r="J31" s="15"/>
      <c r="K31" s="15"/>
    </row>
    <row r="32" spans="1:16">
      <c r="A32" s="26"/>
      <c r="C32" s="32"/>
      <c r="D32" s="33"/>
      <c r="E32" s="28"/>
      <c r="F32" s="21"/>
      <c r="J32" s="15"/>
      <c r="K32" s="15"/>
    </row>
    <row r="33" spans="1:11">
      <c r="A33" s="26"/>
      <c r="C33" s="32"/>
      <c r="D33" s="33"/>
      <c r="E33" s="28"/>
      <c r="F33" s="21"/>
      <c r="J33" s="15"/>
      <c r="K33" s="15"/>
    </row>
    <row r="34" spans="1:11">
      <c r="A34" s="26"/>
      <c r="C34" s="32"/>
      <c r="D34" s="33"/>
      <c r="E34" s="28"/>
      <c r="F34" s="21"/>
      <c r="J34" s="15"/>
      <c r="K34" s="15"/>
    </row>
    <row r="35" spans="1:11">
      <c r="A35" s="26"/>
      <c r="C35" s="32"/>
      <c r="D35" s="32"/>
      <c r="E35" s="28"/>
      <c r="F35" s="21"/>
      <c r="J35" s="15"/>
      <c r="K35" s="15"/>
    </row>
    <row r="36" spans="1:11">
      <c r="A36" s="26"/>
      <c r="C36" s="32"/>
      <c r="D36" s="32"/>
      <c r="E36" s="28"/>
      <c r="F36" s="21"/>
      <c r="J36" s="15"/>
      <c r="K36" s="15"/>
    </row>
    <row r="37" spans="1:11">
      <c r="A37" s="26"/>
      <c r="C37" s="35"/>
      <c r="D37" s="35"/>
      <c r="E37" s="28"/>
      <c r="F37" s="21"/>
      <c r="J37" s="15"/>
      <c r="K37" s="15"/>
    </row>
    <row r="38" spans="1:11">
      <c r="A38" s="26"/>
      <c r="C38" s="35"/>
      <c r="D38" s="35"/>
      <c r="E38" s="28"/>
      <c r="F38" s="21"/>
      <c r="J38" s="15"/>
      <c r="K38" s="15"/>
    </row>
    <row r="39" spans="1:11">
      <c r="A39" s="26"/>
      <c r="C39" s="28"/>
      <c r="D39" s="28"/>
      <c r="E39" s="28"/>
      <c r="F39" s="21"/>
      <c r="J39" s="15"/>
      <c r="K39" s="15"/>
    </row>
    <row r="40" spans="1:11">
      <c r="A40" s="26"/>
      <c r="C40" s="35"/>
      <c r="D40" s="35"/>
      <c r="E40" s="28"/>
      <c r="F40" s="21"/>
      <c r="J40" s="15"/>
      <c r="K40" s="15"/>
    </row>
    <row r="41" spans="1:11">
      <c r="A41" s="26"/>
      <c r="C41" s="35"/>
      <c r="D41" s="35"/>
      <c r="E41" s="28"/>
      <c r="F41" s="21"/>
      <c r="J41" s="15"/>
      <c r="K41" s="15"/>
    </row>
    <row r="42" spans="1:11">
      <c r="A42" s="26"/>
      <c r="B42" s="37"/>
      <c r="C42" s="26"/>
      <c r="D42" s="26"/>
      <c r="E42" s="28"/>
      <c r="F42" s="21"/>
      <c r="J42" s="15"/>
      <c r="K42" s="15"/>
    </row>
    <row r="43" spans="1:11">
      <c r="A43" s="26"/>
      <c r="C43" s="32"/>
      <c r="D43" s="33"/>
      <c r="E43" s="28"/>
      <c r="F43" s="21"/>
      <c r="J43" s="15"/>
      <c r="K43" s="15"/>
    </row>
    <row r="44" spans="1:11">
      <c r="A44" s="26"/>
      <c r="C44" s="32"/>
      <c r="D44" s="33"/>
      <c r="E44" s="28"/>
      <c r="F44" s="21"/>
      <c r="J44" s="15"/>
      <c r="K44" s="15"/>
    </row>
    <row r="45" spans="1:11">
      <c r="A45" s="26"/>
      <c r="C45" s="32"/>
      <c r="D45" s="33"/>
      <c r="E45" s="28"/>
      <c r="F45" s="21"/>
      <c r="J45" s="15"/>
      <c r="K45" s="15"/>
    </row>
    <row r="46" spans="1:11">
      <c r="A46" s="26"/>
      <c r="C46" s="32"/>
      <c r="D46" s="33"/>
      <c r="E46" s="28"/>
      <c r="F46" s="21"/>
      <c r="J46" s="15"/>
      <c r="K46" s="15"/>
    </row>
    <row r="47" spans="1:11">
      <c r="A47" s="26"/>
      <c r="C47" s="32"/>
      <c r="D47" s="33"/>
      <c r="E47" s="28"/>
      <c r="F47" s="21"/>
      <c r="J47" s="15"/>
      <c r="K47" s="15"/>
    </row>
    <row r="48" spans="1:11">
      <c r="A48" s="26"/>
      <c r="C48" s="32"/>
      <c r="D48" s="33"/>
      <c r="E48" s="28"/>
      <c r="F48" s="21"/>
      <c r="J48" s="15"/>
      <c r="K48" s="15"/>
    </row>
    <row r="49" spans="1:11">
      <c r="A49" s="26"/>
      <c r="C49" s="32"/>
      <c r="D49" s="32"/>
      <c r="E49" s="28"/>
      <c r="F49" s="21"/>
      <c r="J49" s="15"/>
      <c r="K49" s="15"/>
    </row>
    <row r="50" spans="1:11">
      <c r="A50" s="26"/>
      <c r="C50" s="32"/>
      <c r="D50" s="32"/>
      <c r="E50" s="28"/>
      <c r="F50" s="21"/>
      <c r="J50" s="15"/>
      <c r="K50" s="15"/>
    </row>
    <row r="51" spans="1:11">
      <c r="A51" s="26"/>
      <c r="B51" s="37"/>
      <c r="C51" s="26"/>
      <c r="D51" s="26"/>
      <c r="E51" s="28"/>
      <c r="F51" s="21"/>
      <c r="J51" s="15"/>
      <c r="K51" s="15"/>
    </row>
    <row r="52" spans="1:11">
      <c r="A52" s="26"/>
      <c r="C52" s="32"/>
      <c r="D52" s="33"/>
      <c r="E52" s="28"/>
      <c r="F52" s="21"/>
      <c r="J52" s="15"/>
      <c r="K52" s="15"/>
    </row>
    <row r="53" spans="1:11">
      <c r="A53" s="26"/>
      <c r="C53" s="32"/>
      <c r="D53" s="33"/>
      <c r="E53" s="28"/>
      <c r="F53" s="21"/>
      <c r="J53" s="15"/>
      <c r="K53" s="15"/>
    </row>
    <row r="54" spans="1:11">
      <c r="A54" s="26"/>
      <c r="C54" s="32"/>
      <c r="D54" s="33"/>
      <c r="E54" s="28"/>
      <c r="F54" s="21"/>
      <c r="J54" s="15"/>
      <c r="K54" s="15"/>
    </row>
    <row r="55" spans="1:11">
      <c r="A55" s="26"/>
      <c r="C55" s="32"/>
      <c r="D55" s="33"/>
      <c r="E55" s="28"/>
      <c r="F55" s="21"/>
      <c r="J55" s="15"/>
      <c r="K55" s="15"/>
    </row>
    <row r="56" spans="1:11">
      <c r="A56" s="26"/>
      <c r="C56" s="32"/>
      <c r="D56" s="33"/>
      <c r="E56" s="28"/>
      <c r="F56" s="21"/>
      <c r="J56" s="15"/>
      <c r="K56" s="15"/>
    </row>
    <row r="57" spans="1:11">
      <c r="A57" s="26"/>
      <c r="C57" s="32"/>
      <c r="D57" s="33"/>
      <c r="E57" s="28"/>
      <c r="F57" s="21"/>
      <c r="J57" s="15"/>
      <c r="K57" s="15"/>
    </row>
    <row r="58" spans="1:11">
      <c r="A58" s="26"/>
      <c r="B58" s="37"/>
      <c r="C58" s="26"/>
      <c r="D58" s="26"/>
      <c r="E58" s="28"/>
      <c r="F58" s="39"/>
      <c r="J58" s="15"/>
      <c r="K58" s="15"/>
    </row>
    <row r="59" spans="1:11">
      <c r="A59" s="26"/>
      <c r="C59" s="32"/>
      <c r="D59" s="33"/>
      <c r="E59" s="28"/>
      <c r="F59" s="21"/>
      <c r="J59" s="15"/>
      <c r="K59" s="15"/>
    </row>
    <row r="60" spans="1:11">
      <c r="A60" s="26"/>
      <c r="C60" s="32"/>
      <c r="D60" s="33"/>
      <c r="E60" s="28"/>
      <c r="F60" s="21"/>
      <c r="I60" s="16"/>
      <c r="J60" s="15"/>
      <c r="K60" s="15"/>
    </row>
    <row r="61" spans="1:11">
      <c r="A61" s="26"/>
      <c r="C61" s="32"/>
      <c r="D61" s="33"/>
      <c r="E61" s="28"/>
      <c r="F61" s="21"/>
      <c r="J61" s="15"/>
      <c r="K61" s="15"/>
    </row>
    <row r="62" spans="1:11">
      <c r="A62" s="26"/>
      <c r="C62" s="32"/>
      <c r="D62" s="33"/>
      <c r="E62" s="28"/>
      <c r="F62" s="21"/>
      <c r="J62" s="15"/>
      <c r="K62" s="15"/>
    </row>
    <row r="63" spans="1:11">
      <c r="A63" s="26"/>
      <c r="C63" s="32"/>
      <c r="D63" s="33"/>
      <c r="E63" s="28"/>
      <c r="F63" s="21"/>
      <c r="J63" s="15"/>
      <c r="K63" s="15"/>
    </row>
    <row r="64" spans="1:11">
      <c r="A64" s="26"/>
      <c r="C64" s="32"/>
      <c r="D64" s="33"/>
      <c r="E64" s="28"/>
      <c r="F64" s="21"/>
      <c r="J64" s="15"/>
      <c r="K64" s="15"/>
    </row>
    <row r="65" spans="1:11">
      <c r="A65" s="26"/>
      <c r="C65" s="32"/>
      <c r="D65" s="32"/>
      <c r="E65" s="28"/>
      <c r="F65" s="21"/>
      <c r="J65" s="15"/>
      <c r="K65" s="15"/>
    </row>
    <row r="66" spans="1:11">
      <c r="A66" s="26"/>
      <c r="C66" s="32"/>
      <c r="D66" s="32"/>
      <c r="E66" s="28"/>
      <c r="F66" s="21"/>
      <c r="J66" s="15"/>
      <c r="K66" s="15"/>
    </row>
    <row r="67" spans="1:11">
      <c r="A67" s="28"/>
      <c r="B67" s="37"/>
      <c r="C67" s="28"/>
      <c r="D67" s="28"/>
      <c r="E67" s="28"/>
      <c r="F67" s="39"/>
      <c r="J67" s="15"/>
      <c r="K67" s="15"/>
    </row>
    <row r="68" spans="1:11">
      <c r="A68" s="28"/>
      <c r="C68" s="32"/>
      <c r="D68" s="33"/>
      <c r="E68" s="28"/>
      <c r="F68" s="21"/>
      <c r="J68" s="15"/>
      <c r="K68" s="15"/>
    </row>
    <row r="69" spans="1:11">
      <c r="A69" s="28"/>
      <c r="C69" s="32"/>
      <c r="D69" s="33"/>
      <c r="E69" s="28"/>
      <c r="F69" s="21"/>
      <c r="I69" s="4">
        <v>480</v>
      </c>
      <c r="J69" s="15"/>
      <c r="K69" s="15"/>
    </row>
    <row r="70" spans="1:11">
      <c r="A70" s="28"/>
      <c r="C70" s="32"/>
      <c r="D70" s="33"/>
      <c r="E70" s="28"/>
      <c r="F70" s="21"/>
      <c r="J70" s="15"/>
      <c r="K70" s="15"/>
    </row>
    <row r="71" spans="1:11">
      <c r="A71" s="28"/>
      <c r="C71" s="32"/>
      <c r="D71" s="33"/>
      <c r="E71" s="28"/>
      <c r="F71" s="21"/>
      <c r="J71" s="15"/>
      <c r="K71" s="15"/>
    </row>
    <row r="72" spans="1:11">
      <c r="A72" s="28"/>
      <c r="C72" s="32"/>
      <c r="D72" s="33"/>
      <c r="E72" s="28"/>
      <c r="F72" s="21"/>
      <c r="J72" s="15"/>
      <c r="K72" s="15"/>
    </row>
    <row r="73" spans="1:11">
      <c r="A73" s="28"/>
      <c r="C73" s="32"/>
      <c r="D73" s="33"/>
      <c r="E73" s="28"/>
      <c r="F73" s="21"/>
      <c r="J73" s="15"/>
      <c r="K73" s="15"/>
    </row>
    <row r="74" spans="1:11">
      <c r="A74" s="28"/>
      <c r="C74" s="32"/>
      <c r="D74" s="32"/>
      <c r="E74" s="28"/>
      <c r="F74" s="21"/>
      <c r="J74" s="15"/>
      <c r="K74" s="15"/>
    </row>
    <row r="75" spans="1:11">
      <c r="A75" s="28"/>
      <c r="C75" s="32"/>
      <c r="D75" s="32"/>
      <c r="E75" s="28"/>
      <c r="F75" s="21"/>
      <c r="J75" s="15"/>
      <c r="K75" s="15"/>
    </row>
    <row r="76" spans="1:11">
      <c r="A76" s="28"/>
      <c r="B76" s="37"/>
      <c r="C76" s="28"/>
      <c r="D76" s="28"/>
      <c r="E76" s="28"/>
      <c r="F76" s="39"/>
      <c r="J76" s="15"/>
      <c r="K76" s="15"/>
    </row>
    <row r="77" spans="1:11">
      <c r="A77" s="28"/>
      <c r="C77" s="32"/>
      <c r="D77" s="33"/>
      <c r="E77" s="28"/>
      <c r="F77" s="21"/>
      <c r="J77" s="15"/>
      <c r="K77" s="15"/>
    </row>
    <row r="78" spans="1:11">
      <c r="A78" s="29"/>
      <c r="C78" s="32"/>
      <c r="D78" s="33"/>
      <c r="E78" s="28"/>
      <c r="F78" s="21"/>
      <c r="J78" s="15"/>
      <c r="K78" s="15"/>
    </row>
    <row r="79" spans="1:11">
      <c r="A79" s="29"/>
      <c r="C79" s="32"/>
      <c r="D79" s="33"/>
      <c r="E79" s="28"/>
      <c r="F79" s="21"/>
      <c r="J79" s="15"/>
      <c r="K79" s="15"/>
    </row>
    <row r="80" spans="1:11">
      <c r="A80" s="29"/>
      <c r="C80" s="32"/>
      <c r="D80" s="33"/>
      <c r="E80" s="28"/>
      <c r="F80" s="21"/>
      <c r="J80" s="15"/>
      <c r="K80" s="15"/>
    </row>
    <row r="81" spans="1:11">
      <c r="A81" s="29"/>
      <c r="B81" s="37"/>
      <c r="C81" s="28"/>
      <c r="D81" s="28"/>
      <c r="E81" s="28"/>
      <c r="F81" s="21"/>
      <c r="J81" s="15"/>
      <c r="K81" s="15"/>
    </row>
    <row r="82" spans="1:11">
      <c r="A82" s="29"/>
      <c r="C82" s="32"/>
      <c r="D82" s="33"/>
      <c r="E82" s="28"/>
      <c r="F82" s="21"/>
      <c r="J82" s="15"/>
      <c r="K82" s="15"/>
    </row>
    <row r="83" spans="1:11">
      <c r="A83" s="28"/>
      <c r="C83" s="32"/>
      <c r="D83" s="33"/>
      <c r="E83" s="28"/>
      <c r="F83" s="21"/>
      <c r="J83" s="15"/>
      <c r="K83" s="15"/>
    </row>
    <row r="84" spans="1:11">
      <c r="A84" s="28"/>
      <c r="C84" s="32"/>
      <c r="D84" s="33"/>
      <c r="E84" s="28"/>
      <c r="F84" s="21"/>
      <c r="J84" s="15"/>
      <c r="K84" s="15"/>
    </row>
    <row r="85" spans="1:11">
      <c r="A85" s="28"/>
      <c r="C85" s="32"/>
      <c r="D85" s="33"/>
      <c r="E85" s="28"/>
      <c r="F85" s="21"/>
      <c r="J85" s="15"/>
      <c r="K85" s="15"/>
    </row>
    <row r="86" spans="1:11">
      <c r="A86" s="28"/>
      <c r="C86" s="32"/>
      <c r="D86" s="33"/>
      <c r="E86" s="28"/>
      <c r="F86" s="21"/>
      <c r="J86" s="15"/>
      <c r="K86" s="15"/>
    </row>
    <row r="87" spans="1:11">
      <c r="A87" s="28"/>
      <c r="C87" s="28"/>
      <c r="D87" s="28"/>
      <c r="E87" s="28"/>
      <c r="F87" s="21"/>
    </row>
    <row r="88" spans="1:11">
      <c r="A88" s="28"/>
      <c r="B88" s="36"/>
      <c r="C88" s="28"/>
      <c r="D88" s="28"/>
      <c r="E88" s="28"/>
      <c r="F88" s="40"/>
      <c r="G88" s="40"/>
    </row>
    <row r="89" spans="1:11">
      <c r="A89" s="28"/>
      <c r="C89" s="28"/>
      <c r="D89" s="28"/>
      <c r="E89" s="28"/>
    </row>
    <row r="90" spans="1:11">
      <c r="A90" s="28"/>
      <c r="B90" s="36"/>
      <c r="C90" s="28"/>
      <c r="D90" s="28"/>
      <c r="E90" s="28"/>
      <c r="F90" s="12"/>
      <c r="G90" s="12"/>
    </row>
    <row r="91" spans="1:11">
      <c r="B91" s="5"/>
    </row>
    <row r="92" spans="1:11">
      <c r="B92" s="5"/>
    </row>
    <row r="93" spans="1:11">
      <c r="B93" s="5"/>
    </row>
    <row r="94" spans="1:11">
      <c r="B94" s="5"/>
    </row>
    <row r="95" spans="1:11">
      <c r="B95" s="5"/>
    </row>
    <row r="96" spans="1:11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1" spans="2:2">
      <c r="B101" s="5"/>
    </row>
    <row r="102" spans="2:2">
      <c r="B102" s="5"/>
    </row>
    <row r="103" spans="2:2">
      <c r="B103" s="5"/>
    </row>
    <row r="104" spans="2:2">
      <c r="B104" s="5"/>
    </row>
    <row r="105" spans="2:2">
      <c r="B105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7" spans="2:2">
      <c r="B117" s="5"/>
    </row>
    <row r="118" spans="2:2">
      <c r="B118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2" spans="2:2">
      <c r="B132" s="5"/>
    </row>
    <row r="133" spans="2:2">
      <c r="B133" s="5"/>
    </row>
    <row r="134" spans="2:2">
      <c r="B134" s="5"/>
    </row>
    <row r="135" spans="2:2">
      <c r="B135" s="5"/>
    </row>
    <row r="136" spans="2:2">
      <c r="B136" s="5"/>
    </row>
    <row r="137" spans="2:2">
      <c r="B137" s="5"/>
    </row>
    <row r="138" spans="2:2">
      <c r="B138" s="5"/>
    </row>
    <row r="139" spans="2:2">
      <c r="B139" s="5"/>
    </row>
    <row r="140" spans="2:2">
      <c r="B140" s="5"/>
    </row>
    <row r="141" spans="2:2">
      <c r="B141" s="5"/>
    </row>
    <row r="142" spans="2:2">
      <c r="B142" s="5"/>
    </row>
    <row r="143" spans="2:2">
      <c r="B143" s="5"/>
    </row>
    <row r="144" spans="2:2">
      <c r="B144" s="5"/>
    </row>
    <row r="145" spans="2:2">
      <c r="B145" s="5"/>
    </row>
    <row r="146" spans="2:2">
      <c r="B146" s="5"/>
    </row>
    <row r="147" spans="2:2">
      <c r="B147" s="5"/>
    </row>
    <row r="148" spans="2:2">
      <c r="B148" s="5"/>
    </row>
    <row r="149" spans="2:2">
      <c r="B149" s="5"/>
    </row>
    <row r="150" spans="2:2">
      <c r="B150" s="5"/>
    </row>
    <row r="151" spans="2:2">
      <c r="B151" s="5"/>
    </row>
    <row r="152" spans="2:2">
      <c r="B152" s="5"/>
    </row>
    <row r="153" spans="2:2">
      <c r="B153" s="5"/>
    </row>
    <row r="154" spans="2:2">
      <c r="B154" s="5"/>
    </row>
    <row r="155" spans="2:2">
      <c r="B155" s="5"/>
    </row>
    <row r="156" spans="2:2">
      <c r="B156" s="5"/>
    </row>
    <row r="157" spans="2:2">
      <c r="B157" s="5"/>
    </row>
    <row r="158" spans="2:2">
      <c r="B158" s="5"/>
    </row>
    <row r="159" spans="2:2">
      <c r="B159" s="5"/>
    </row>
    <row r="160" spans="2:2">
      <c r="B160" s="5"/>
    </row>
    <row r="161" spans="2:2">
      <c r="B161" s="5"/>
    </row>
    <row r="162" spans="2:2">
      <c r="B162" s="5"/>
    </row>
    <row r="163" spans="2:2">
      <c r="B163" s="5"/>
    </row>
    <row r="164" spans="2:2">
      <c r="B164" s="5"/>
    </row>
    <row r="165" spans="2:2">
      <c r="B165" s="5"/>
    </row>
    <row r="166" spans="2:2">
      <c r="B166" s="5"/>
    </row>
    <row r="167" spans="2:2">
      <c r="B167" s="5"/>
    </row>
    <row r="168" spans="2:2">
      <c r="B168" s="5"/>
    </row>
    <row r="169" spans="2:2">
      <c r="B169" s="5"/>
    </row>
    <row r="170" spans="2:2">
      <c r="B170" s="5"/>
    </row>
    <row r="171" spans="2:2">
      <c r="B171" s="5"/>
    </row>
    <row r="172" spans="2:2">
      <c r="B172" s="5"/>
    </row>
    <row r="173" spans="2:2">
      <c r="B173" s="5"/>
    </row>
    <row r="174" spans="2:2">
      <c r="B174" s="5"/>
    </row>
    <row r="175" spans="2:2">
      <c r="B175" s="5"/>
    </row>
    <row r="176" spans="2:2">
      <c r="B176" s="5"/>
    </row>
    <row r="177" spans="2:2">
      <c r="B177" s="5"/>
    </row>
    <row r="178" spans="2:2">
      <c r="B178" s="5"/>
    </row>
    <row r="179" spans="2:2">
      <c r="B179" s="5"/>
    </row>
    <row r="180" spans="2:2">
      <c r="B180" s="5"/>
    </row>
    <row r="181" spans="2:2">
      <c r="B181" s="5"/>
    </row>
    <row r="182" spans="2:2">
      <c r="B182" s="5"/>
    </row>
    <row r="183" spans="2:2">
      <c r="B183" s="5"/>
    </row>
    <row r="184" spans="2:2">
      <c r="B184" s="5"/>
    </row>
    <row r="185" spans="2:2">
      <c r="B185" s="5"/>
    </row>
    <row r="186" spans="2:2">
      <c r="B186" s="5"/>
    </row>
    <row r="187" spans="2:2">
      <c r="B187" s="5"/>
    </row>
    <row r="188" spans="2:2">
      <c r="B188" s="5"/>
    </row>
    <row r="189" spans="2:2">
      <c r="B189" s="5"/>
    </row>
    <row r="190" spans="2:2">
      <c r="B190" s="5"/>
    </row>
    <row r="191" spans="2:2">
      <c r="B191" s="5"/>
    </row>
    <row r="192" spans="2:2">
      <c r="B192" s="5"/>
    </row>
    <row r="193" spans="2:2">
      <c r="B193" s="5"/>
    </row>
    <row r="194" spans="2:2">
      <c r="B194" s="5"/>
    </row>
    <row r="195" spans="2:2">
      <c r="B195" s="5"/>
    </row>
    <row r="196" spans="2:2">
      <c r="B196" s="5"/>
    </row>
    <row r="197" spans="2:2">
      <c r="B197" s="5"/>
    </row>
    <row r="198" spans="2:2">
      <c r="B198" s="5"/>
    </row>
    <row r="199" spans="2:2">
      <c r="B199" s="5"/>
    </row>
    <row r="200" spans="2:2">
      <c r="B200" s="5"/>
    </row>
    <row r="201" spans="2:2">
      <c r="B201" s="5"/>
    </row>
    <row r="202" spans="2:2">
      <c r="B202" s="5"/>
    </row>
    <row r="203" spans="2:2">
      <c r="B203" s="5"/>
    </row>
    <row r="204" spans="2:2">
      <c r="B204" s="5"/>
    </row>
    <row r="205" spans="2:2">
      <c r="B205" s="5"/>
    </row>
    <row r="206" spans="2:2">
      <c r="B206" s="5"/>
    </row>
    <row r="207" spans="2:2">
      <c r="B207" s="5"/>
    </row>
    <row r="208" spans="2:2">
      <c r="B208" s="5"/>
    </row>
    <row r="209" spans="2:2">
      <c r="B209" s="5"/>
    </row>
    <row r="210" spans="2:2">
      <c r="B210" s="5"/>
    </row>
    <row r="211" spans="2:2">
      <c r="B211" s="5"/>
    </row>
    <row r="212" spans="2:2">
      <c r="B212" s="5"/>
    </row>
    <row r="213" spans="2:2">
      <c r="B213" s="5"/>
    </row>
    <row r="214" spans="2:2">
      <c r="B214" s="5"/>
    </row>
    <row r="215" spans="2:2">
      <c r="B215" s="5"/>
    </row>
    <row r="216" spans="2:2">
      <c r="B216" s="5"/>
    </row>
    <row r="217" spans="2:2">
      <c r="B217" s="5"/>
    </row>
    <row r="218" spans="2:2">
      <c r="B218" s="5"/>
    </row>
    <row r="219" spans="2:2">
      <c r="B219" s="5"/>
    </row>
    <row r="220" spans="2:2">
      <c r="B220" s="5"/>
    </row>
    <row r="221" spans="2:2">
      <c r="B221" s="5"/>
    </row>
    <row r="222" spans="2:2">
      <c r="B222" s="5"/>
    </row>
    <row r="223" spans="2:2">
      <c r="B223" s="5"/>
    </row>
    <row r="224" spans="2:2">
      <c r="B224" s="5"/>
    </row>
    <row r="225" spans="2:2">
      <c r="B225" s="5"/>
    </row>
    <row r="226" spans="2:2">
      <c r="B226" s="5"/>
    </row>
    <row r="227" spans="2:2">
      <c r="B227" s="5"/>
    </row>
    <row r="228" spans="2:2">
      <c r="B228" s="5"/>
    </row>
    <row r="229" spans="2:2">
      <c r="B229" s="5"/>
    </row>
    <row r="230" spans="2:2">
      <c r="B230" s="5"/>
    </row>
    <row r="231" spans="2:2">
      <c r="B231" s="5"/>
    </row>
    <row r="232" spans="2:2">
      <c r="B232" s="5"/>
    </row>
    <row r="233" spans="2:2">
      <c r="B233" s="5"/>
    </row>
    <row r="234" spans="2:2">
      <c r="B234" s="5"/>
    </row>
    <row r="235" spans="2:2">
      <c r="B235" s="5"/>
    </row>
    <row r="236" spans="2:2">
      <c r="B236" s="5"/>
    </row>
    <row r="237" spans="2:2">
      <c r="B237" s="5"/>
    </row>
    <row r="238" spans="2:2">
      <c r="B238" s="5"/>
    </row>
    <row r="239" spans="2:2">
      <c r="B239" s="5"/>
    </row>
  </sheetData>
  <phoneticPr fontId="8" type="noConversion"/>
  <conditionalFormatting sqref="A6">
    <cfRule type="expression" priority="8">
      <formula>"ALS($A$5=waar)"</formula>
    </cfRule>
  </conditionalFormatting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969EE-F825-4F26-ADC8-FD1433338D38}">
  <sheetPr codeName="Blad5"/>
  <dimension ref="A1:P25"/>
  <sheetViews>
    <sheetView zoomScale="97" zoomScaleNormal="55" workbookViewId="0">
      <selection activeCell="B15" sqref="B15"/>
    </sheetView>
  </sheetViews>
  <sheetFormatPr defaultRowHeight="13"/>
  <cols>
    <col min="1" max="1" width="4.26953125" style="41" customWidth="1"/>
    <col min="2" max="2" width="4.36328125" style="41" customWidth="1"/>
    <col min="3" max="3" width="3.26953125" style="41" customWidth="1"/>
    <col min="4" max="4" width="3.1796875" style="41" customWidth="1"/>
    <col min="5" max="5" width="6.81640625" style="41" customWidth="1"/>
    <col min="6" max="6" width="9" style="41" customWidth="1"/>
    <col min="7" max="7" width="2.453125" style="41" customWidth="1"/>
    <col min="8" max="8" width="1.453125" style="41" customWidth="1"/>
    <col min="9" max="9" width="3.6328125" style="41" customWidth="1"/>
    <col min="10" max="10" width="19.54296875" style="41" bestFit="1" customWidth="1"/>
    <col min="11" max="12" width="7.6328125" style="41" bestFit="1" customWidth="1"/>
    <col min="13" max="13" width="12.453125" style="41" bestFit="1" customWidth="1"/>
    <col min="14" max="14" width="7.81640625" style="41" bestFit="1" customWidth="1"/>
    <col min="15" max="16" width="8.7265625" style="41"/>
    <col min="17" max="17" width="18.90625" style="41" customWidth="1"/>
    <col min="18" max="18" width="18.26953125" style="41" customWidth="1"/>
    <col min="19" max="19" width="12.453125" style="41" customWidth="1"/>
    <col min="20" max="16384" width="8.7265625" style="41"/>
  </cols>
  <sheetData>
    <row r="1" spans="1:16">
      <c r="B1" s="41" t="s">
        <v>113</v>
      </c>
      <c r="D1" s="45" t="s">
        <v>114</v>
      </c>
      <c r="E1" s="45" t="str" cm="1">
        <f t="array" ref="E1:E9">Vast!B2:B10</f>
        <v>Volwassenen:</v>
      </c>
      <c r="F1" s="47"/>
      <c r="G1" s="47"/>
      <c r="H1" s="47"/>
      <c r="I1" s="45" t="s">
        <v>115</v>
      </c>
      <c r="J1" s="45" t="s">
        <v>94</v>
      </c>
      <c r="K1" s="47"/>
      <c r="L1" s="47"/>
    </row>
    <row r="2" spans="1:16" ht="14.5">
      <c r="A2" s="41" t="s">
        <v>7</v>
      </c>
      <c r="B2" s="41">
        <f>SUM(Vast!C3:C10)</f>
        <v>1</v>
      </c>
      <c r="D2" s="48" cm="1">
        <f t="array" ref="D2:D9">Vast!C3:C10</f>
        <v>1</v>
      </c>
      <c r="E2" s="46" t="str">
        <v>man tot 50 jaar</v>
      </c>
      <c r="F2" s="49">
        <v>260.06</v>
      </c>
      <c r="G2" s="50">
        <f t="shared" ref="G2:G9" si="0">F2*D2</f>
        <v>260.06</v>
      </c>
      <c r="H2" s="51"/>
      <c r="I2" s="48" cm="1">
        <f t="array" ref="I2:I9">Vast!D3:D10</f>
        <v>0</v>
      </c>
      <c r="J2" s="41" t="s">
        <v>96</v>
      </c>
      <c r="K2" s="52">
        <v>0</v>
      </c>
      <c r="L2" s="49">
        <f t="shared" ref="L2:L9" si="1">K2*I2</f>
        <v>0</v>
      </c>
      <c r="N2" s="147" t="s">
        <v>133</v>
      </c>
      <c r="O2" s="147" t="s">
        <v>134</v>
      </c>
      <c r="P2" s="147" t="s">
        <v>135</v>
      </c>
    </row>
    <row r="3" spans="1:16" ht="14.5">
      <c r="A3" s="41" t="s">
        <v>15</v>
      </c>
      <c r="B3" s="41">
        <v>385</v>
      </c>
      <c r="D3" s="48">
        <v>0</v>
      </c>
      <c r="E3" s="46" t="str">
        <v>man van 51 tot 69 jaar</v>
      </c>
      <c r="F3" s="49">
        <v>249.11</v>
      </c>
      <c r="G3" s="50">
        <f t="shared" si="0"/>
        <v>0</v>
      </c>
      <c r="H3" s="51"/>
      <c r="I3" s="48">
        <v>0</v>
      </c>
      <c r="J3" s="53" t="s">
        <v>98</v>
      </c>
      <c r="K3" s="52">
        <v>94.9</v>
      </c>
      <c r="L3" s="49">
        <f t="shared" si="1"/>
        <v>0</v>
      </c>
      <c r="N3" s="41" t="b">
        <f>Vast!E82&gt;0</f>
        <v>1</v>
      </c>
      <c r="O3" s="41" t="b">
        <f>OR(Vast!D3&gt;"",SUM(Vast!D4:D10)&gt;0)</f>
        <v>1</v>
      </c>
      <c r="P3" s="41" t="b">
        <f>Vast!A11="Ja"</f>
        <v>0</v>
      </c>
    </row>
    <row r="4" spans="1:16" ht="15">
      <c r="A4" s="41" t="s">
        <v>111</v>
      </c>
      <c r="B4" s="41">
        <f>B3*B2</f>
        <v>385</v>
      </c>
      <c r="D4" s="48">
        <v>0</v>
      </c>
      <c r="E4" s="47" t="str">
        <v>man boven de 70 jaar</v>
      </c>
      <c r="F4" s="49">
        <v>240.29</v>
      </c>
      <c r="G4" s="50">
        <f t="shared" si="0"/>
        <v>0</v>
      </c>
      <c r="H4" s="51"/>
      <c r="I4" s="48">
        <v>0</v>
      </c>
      <c r="J4" s="53" t="s">
        <v>100</v>
      </c>
      <c r="K4" s="54">
        <v>133.53</v>
      </c>
      <c r="L4" s="49">
        <f t="shared" si="1"/>
        <v>0</v>
      </c>
      <c r="N4" s="41">
        <f>IF(N3,3+--OR(O3,P3)+--AND(O3,P3),"")</f>
        <v>4</v>
      </c>
      <c r="O4" s="41">
        <f>IF(N3,Vast!E82/rekentool!N4,"")</f>
        <v>170.98510869565212</v>
      </c>
      <c r="P4" s="166">
        <f>O4*12</f>
        <v>2051.8213043478254</v>
      </c>
    </row>
    <row r="5" spans="1:16" ht="15">
      <c r="A5" s="55" t="s">
        <v>17</v>
      </c>
      <c r="B5" s="55"/>
      <c r="C5" s="55"/>
      <c r="D5" s="48">
        <v>0</v>
      </c>
      <c r="E5" s="46" t="str">
        <v>vrouw die zwangere is</v>
      </c>
      <c r="F5" s="49">
        <v>258.54000000000002</v>
      </c>
      <c r="G5" s="50">
        <f t="shared" si="0"/>
        <v>0</v>
      </c>
      <c r="H5" s="51"/>
      <c r="I5" s="48">
        <v>0</v>
      </c>
      <c r="J5" s="53" t="s">
        <v>102</v>
      </c>
      <c r="K5" s="54">
        <v>215.06</v>
      </c>
      <c r="L5" s="49">
        <f t="shared" si="1"/>
        <v>0</v>
      </c>
    </row>
    <row r="6" spans="1:16" ht="15">
      <c r="A6" s="55"/>
      <c r="B6" s="55"/>
      <c r="C6" s="55"/>
      <c r="D6" s="48">
        <v>0</v>
      </c>
      <c r="E6" s="46" t="str">
        <v>vrouw die borstvoeding geeft</v>
      </c>
      <c r="F6" s="49">
        <v>273.14</v>
      </c>
      <c r="G6" s="50">
        <f t="shared" si="0"/>
        <v>0</v>
      </c>
      <c r="H6" s="51"/>
      <c r="I6" s="48">
        <v>0</v>
      </c>
      <c r="J6" s="53" t="s">
        <v>104</v>
      </c>
      <c r="K6" s="54">
        <v>260.06</v>
      </c>
      <c r="L6" s="49">
        <f t="shared" si="1"/>
        <v>0</v>
      </c>
      <c r="N6" s="41" t="str">
        <f>P6&amp;TEXT(P4,"€ #.##0,00")&amp;" sparen"</f>
        <v>In een jaar kun je € 2.051,82 sparen</v>
      </c>
      <c r="P6" s="147" t="s">
        <v>140</v>
      </c>
    </row>
    <row r="7" spans="1:16" ht="15">
      <c r="D7" s="48">
        <v>0</v>
      </c>
      <c r="E7" s="47" t="str">
        <v>vrouw tot 50 jaar</v>
      </c>
      <c r="F7" s="49">
        <v>234.82</v>
      </c>
      <c r="G7" s="50">
        <f t="shared" si="0"/>
        <v>0</v>
      </c>
      <c r="H7" s="51"/>
      <c r="I7" s="48">
        <v>1</v>
      </c>
      <c r="J7" s="53" t="s">
        <v>106</v>
      </c>
      <c r="K7" s="54">
        <v>234.82</v>
      </c>
      <c r="L7" s="49">
        <f t="shared" si="1"/>
        <v>234.82</v>
      </c>
    </row>
    <row r="8" spans="1:16" ht="15">
      <c r="D8" s="48">
        <v>0</v>
      </c>
      <c r="E8" s="47" t="str">
        <v>vrouw van 51 tot 69 jaar</v>
      </c>
      <c r="F8" s="49">
        <v>224.82</v>
      </c>
      <c r="G8" s="50">
        <f t="shared" si="0"/>
        <v>0</v>
      </c>
      <c r="H8" s="51"/>
      <c r="I8" s="48">
        <v>0</v>
      </c>
      <c r="J8" s="53" t="s">
        <v>108</v>
      </c>
      <c r="K8" s="54">
        <v>260.06</v>
      </c>
      <c r="L8" s="49">
        <f t="shared" si="1"/>
        <v>0</v>
      </c>
    </row>
    <row r="9" spans="1:16" ht="15">
      <c r="D9" s="48">
        <v>0</v>
      </c>
      <c r="E9" s="47" t="str">
        <v>vrouw boven de 70 jaar</v>
      </c>
      <c r="F9" s="49">
        <v>240.29</v>
      </c>
      <c r="G9" s="50">
        <f t="shared" si="0"/>
        <v>0</v>
      </c>
      <c r="H9" s="51"/>
      <c r="I9" s="48">
        <v>0</v>
      </c>
      <c r="J9" s="53" t="s">
        <v>110</v>
      </c>
      <c r="K9" s="54">
        <v>234.82</v>
      </c>
      <c r="L9" s="49">
        <f t="shared" si="1"/>
        <v>0</v>
      </c>
    </row>
    <row r="10" spans="1:16" ht="13.5" thickBot="1">
      <c r="D10" s="41">
        <f>SUM(_xlfn.ANCHORARRAY(D2))</f>
        <v>1</v>
      </c>
      <c r="E10" s="47"/>
      <c r="F10" s="47"/>
      <c r="G10" s="47"/>
      <c r="H10" s="47"/>
      <c r="I10" s="41">
        <f>IF(D6&gt;0,1,0)</f>
        <v>0</v>
      </c>
      <c r="J10" s="47" t="s">
        <v>116</v>
      </c>
      <c r="K10" s="47"/>
      <c r="L10" s="47"/>
    </row>
    <row r="11" spans="1:16" ht="13.5" thickBot="1">
      <c r="A11" s="41" t="s">
        <v>117</v>
      </c>
      <c r="E11" s="47"/>
      <c r="F11" s="56">
        <f>SUM(_xlfn.ANCHORARRAY(D2))+SUM(_xlfn.ANCHORARRAY(I2))</f>
        <v>2</v>
      </c>
      <c r="G11" s="47"/>
      <c r="H11" s="47"/>
      <c r="I11" s="47">
        <f>SUM(I3:I7)+I10</f>
        <v>1</v>
      </c>
      <c r="J11" s="57" t="s">
        <v>118</v>
      </c>
      <c r="K11" s="58" cm="1">
        <f t="array" ref="K11">SUM(G2:G9+L2:L9)</f>
        <v>494.88</v>
      </c>
      <c r="L11" s="47"/>
    </row>
    <row r="12" spans="1:16" ht="26">
      <c r="A12" s="59" t="s">
        <v>119</v>
      </c>
    </row>
    <row r="13" spans="1:16">
      <c r="A13" s="62">
        <f>325</f>
        <v>325</v>
      </c>
      <c r="B13" s="41">
        <v>1</v>
      </c>
    </row>
    <row r="14" spans="1:16">
      <c r="A14" s="62"/>
      <c r="B14" s="41">
        <f>F11</f>
        <v>2</v>
      </c>
      <c r="F14" s="41" t="s">
        <v>120</v>
      </c>
    </row>
    <row r="15" spans="1:16" ht="15.5" thickBot="1">
      <c r="A15" s="62"/>
      <c r="B15" s="63">
        <f>IF(B14&gt;1,A13+(B14*B19),A13)</f>
        <v>565</v>
      </c>
      <c r="C15" s="41" t="s">
        <v>121</v>
      </c>
    </row>
    <row r="16" spans="1:16" ht="78.5" thickBot="1">
      <c r="A16" s="62"/>
      <c r="B16" s="44">
        <f>rekentool!K11</f>
        <v>494.88</v>
      </c>
      <c r="C16" s="41" t="s">
        <v>124</v>
      </c>
      <c r="D16" s="41" t="s">
        <v>128</v>
      </c>
      <c r="E16" s="41" t="b">
        <f>D10=1</f>
        <v>1</v>
      </c>
      <c r="F16" s="60"/>
      <c r="G16" s="60" t="s">
        <v>122</v>
      </c>
      <c r="J16" s="71" t="s">
        <v>123</v>
      </c>
      <c r="K16" s="72" t="s">
        <v>122</v>
      </c>
    </row>
    <row r="17" spans="1:11" ht="26.5" thickBot="1">
      <c r="A17" s="62"/>
      <c r="B17" s="64">
        <f>B15-B16</f>
        <v>70.12</v>
      </c>
      <c r="C17" s="41" t="s">
        <v>126</v>
      </c>
      <c r="D17" s="41" t="s">
        <v>129</v>
      </c>
      <c r="E17" s="41" t="b">
        <f>D10&gt;1</f>
        <v>0</v>
      </c>
      <c r="F17" s="60"/>
      <c r="G17" s="70">
        <v>750</v>
      </c>
      <c r="J17" s="73" t="s">
        <v>125</v>
      </c>
      <c r="K17" s="74">
        <v>1250</v>
      </c>
    </row>
    <row r="18" spans="1:11" ht="13.5" thickBot="1">
      <c r="A18" s="62"/>
      <c r="B18" s="65"/>
      <c r="D18" s="41" t="s">
        <v>130</v>
      </c>
      <c r="E18" s="41" t="b">
        <f>I11&gt;0</f>
        <v>1</v>
      </c>
      <c r="F18" s="60"/>
      <c r="G18" s="70">
        <v>1250</v>
      </c>
      <c r="J18" s="73" t="s">
        <v>127</v>
      </c>
      <c r="K18" s="74">
        <v>1000</v>
      </c>
    </row>
    <row r="19" spans="1:11" ht="15">
      <c r="A19" s="62"/>
      <c r="B19" s="63">
        <v>120</v>
      </c>
      <c r="D19" s="41" t="s">
        <v>131</v>
      </c>
      <c r="E19" s="41" t="b">
        <f>I11=0</f>
        <v>0</v>
      </c>
      <c r="F19" s="60"/>
      <c r="G19" s="70">
        <v>1250</v>
      </c>
    </row>
    <row r="20" spans="1:11" ht="15">
      <c r="A20" s="60"/>
      <c r="B20" s="61"/>
      <c r="F20" s="60"/>
      <c r="G20" s="70">
        <v>1750</v>
      </c>
      <c r="H20" s="66"/>
      <c r="K20" s="67"/>
    </row>
    <row r="21" spans="1:11">
      <c r="A21" s="60"/>
      <c r="B21" s="61"/>
      <c r="C21" s="62"/>
    </row>
    <row r="22" spans="1:11" ht="15">
      <c r="F22" s="63" cm="1">
        <f t="array" ref="F22">_xlfn.IFS(AND(E16=TRUE,E18=TRUE),G18,AND(E16=TRUE,E19=TRUE),G17,AND(E17=TRUE,E19=TRUE),G19,AND(E17=TRUE,E18=TRUE),G20)</f>
        <v>1250</v>
      </c>
      <c r="H22" s="66"/>
    </row>
    <row r="23" spans="1:11">
      <c r="A23" s="60"/>
    </row>
    <row r="25" spans="1:11">
      <c r="G25" s="55"/>
      <c r="H25" s="68"/>
      <c r="I25" s="69"/>
    </row>
  </sheetData>
  <dataValidations count="3">
    <dataValidation type="list" allowBlank="1" showInputMessage="1" showErrorMessage="1" sqref="K13" xr:uid="{895B7C5D-BFCD-4421-8C91-2D5D84A9EEF9}">
      <formula1>$A$22:$A$27</formula1>
    </dataValidation>
    <dataValidation type="list" allowBlank="1" showInputMessage="1" showErrorMessage="1" sqref="J13 L13" xr:uid="{D8D6F4F2-3F97-437F-80E1-BD7D62E3AE86}">
      <formula1>_xlfn.ANCHORARRAY($G$13)</formula1>
    </dataValidation>
    <dataValidation type="list" allowBlank="1" showInputMessage="1" showErrorMessage="1" sqref="I13" xr:uid="{B3003A2F-0191-4899-9787-18B210B5B2BB}">
      <formula1>$G$2:$G$9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Z11"/>
  <sheetViews>
    <sheetView workbookViewId="0">
      <selection activeCell="V15" sqref="V15"/>
    </sheetView>
  </sheetViews>
  <sheetFormatPr defaultRowHeight="14.5"/>
  <cols>
    <col min="1" max="1" width="10.08984375" bestFit="1" customWidth="1"/>
    <col min="2" max="2" width="9.36328125" bestFit="1" customWidth="1"/>
    <col min="3" max="3" width="7.7265625" bestFit="1" customWidth="1"/>
    <col min="4" max="4" width="9.26953125" bestFit="1" customWidth="1"/>
    <col min="5" max="5" width="11.08984375" bestFit="1" customWidth="1"/>
    <col min="6" max="6" width="9.26953125" bestFit="1" customWidth="1"/>
    <col min="7" max="7" width="9" bestFit="1" customWidth="1"/>
    <col min="24" max="24" width="10.81640625" customWidth="1"/>
  </cols>
  <sheetData>
    <row r="1" spans="1:26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  <c r="G1" t="s">
        <v>9</v>
      </c>
      <c r="H1" t="s">
        <v>142</v>
      </c>
      <c r="I1" t="s">
        <v>143</v>
      </c>
      <c r="J1" t="s">
        <v>144</v>
      </c>
      <c r="K1" t="s">
        <v>145</v>
      </c>
      <c r="L1" t="s">
        <v>193</v>
      </c>
      <c r="M1" t="s">
        <v>194</v>
      </c>
      <c r="N1" t="s">
        <v>142</v>
      </c>
      <c r="O1" t="s">
        <v>143</v>
      </c>
      <c r="P1" t="s">
        <v>145</v>
      </c>
      <c r="Q1" t="s">
        <v>146</v>
      </c>
      <c r="R1" t="s">
        <v>147</v>
      </c>
      <c r="S1" t="s">
        <v>148</v>
      </c>
      <c r="T1" t="s">
        <v>149</v>
      </c>
      <c r="U1" t="s">
        <v>150</v>
      </c>
      <c r="V1" t="s">
        <v>151</v>
      </c>
      <c r="X1" t="s">
        <v>2</v>
      </c>
      <c r="Y1" t="s">
        <v>115</v>
      </c>
      <c r="Z1" t="s">
        <v>143</v>
      </c>
    </row>
    <row r="2" spans="1:26">
      <c r="A2" s="1"/>
      <c r="B2" s="1"/>
      <c r="F2" s="2"/>
      <c r="L2" t="s">
        <v>195</v>
      </c>
      <c r="M2">
        <v>2025</v>
      </c>
      <c r="N2">
        <v>47</v>
      </c>
      <c r="O2">
        <v>0</v>
      </c>
    </row>
    <row r="3" spans="1:26">
      <c r="A3" s="1"/>
      <c r="B3" s="1"/>
      <c r="F3" s="2"/>
      <c r="P3" t="s">
        <v>196</v>
      </c>
      <c r="Q3">
        <v>0</v>
      </c>
    </row>
    <row r="4" spans="1:26">
      <c r="A4" s="1"/>
      <c r="B4" s="1"/>
      <c r="F4" s="3"/>
      <c r="P4" t="s">
        <v>196</v>
      </c>
      <c r="Q4">
        <v>0</v>
      </c>
    </row>
    <row r="5" spans="1:26">
      <c r="A5" s="1"/>
      <c r="B5" s="1"/>
      <c r="F5" s="2"/>
    </row>
    <row r="6" spans="1:26">
      <c r="A6" s="1"/>
      <c r="B6" s="1"/>
      <c r="F6" s="2"/>
    </row>
    <row r="7" spans="1:26">
      <c r="A7" s="1"/>
      <c r="B7" s="1"/>
      <c r="F7" s="2"/>
    </row>
    <row r="8" spans="1:26">
      <c r="A8" s="1"/>
      <c r="B8" s="1"/>
      <c r="F8" s="2"/>
    </row>
    <row r="9" spans="1:26">
      <c r="A9" s="1"/>
      <c r="B9" s="1"/>
      <c r="F9" s="2"/>
    </row>
    <row r="10" spans="1:26">
      <c r="A10" s="1"/>
      <c r="B10" s="1"/>
      <c r="F10" s="2"/>
    </row>
    <row r="11" spans="1:26">
      <c r="A11" s="1"/>
      <c r="B11" s="1"/>
      <c r="F11" s="2"/>
    </row>
  </sheetData>
  <pageMargins left="0.75" right="0.75" top="1" bottom="1" header="0.5" footer="0.5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12"/>
  <sheetViews>
    <sheetView workbookViewId="0">
      <selection activeCell="C8" sqref="C8"/>
    </sheetView>
  </sheetViews>
  <sheetFormatPr defaultRowHeight="14.5"/>
  <sheetData>
    <row r="1" spans="1:5">
      <c r="A1" s="168" t="s">
        <v>4</v>
      </c>
      <c r="B1" s="168" t="s">
        <v>153</v>
      </c>
      <c r="C1" s="169" t="s">
        <v>154</v>
      </c>
      <c r="D1" s="170" t="s">
        <v>155</v>
      </c>
      <c r="E1" s="171" t="s">
        <v>156</v>
      </c>
    </row>
    <row r="2" spans="1:5">
      <c r="A2" s="210" t="s">
        <v>152</v>
      </c>
      <c r="B2" s="210"/>
      <c r="C2" s="172" t="s">
        <v>93</v>
      </c>
      <c r="D2" s="173"/>
      <c r="E2" s="171" t="s">
        <v>94</v>
      </c>
    </row>
    <row r="3" spans="1:5">
      <c r="A3" s="209" t="s">
        <v>152</v>
      </c>
      <c r="B3" s="209"/>
      <c r="C3" s="172" t="s">
        <v>93</v>
      </c>
      <c r="D3" s="174"/>
      <c r="E3" s="171" t="s">
        <v>94</v>
      </c>
    </row>
    <row r="4" spans="1:5">
      <c r="A4" s="209"/>
      <c r="B4" s="209"/>
      <c r="C4" s="172"/>
      <c r="D4" s="174"/>
      <c r="E4" s="171"/>
    </row>
    <row r="5" spans="1:5">
      <c r="A5" s="209"/>
      <c r="B5" s="209"/>
      <c r="C5" s="172"/>
      <c r="D5" s="173"/>
      <c r="E5" s="171"/>
    </row>
    <row r="6" spans="1:5">
      <c r="A6" s="209"/>
      <c r="B6" s="209"/>
      <c r="C6" s="172"/>
      <c r="D6" s="174"/>
      <c r="E6" s="171"/>
    </row>
    <row r="7" spans="1:5">
      <c r="A7" s="209"/>
      <c r="B7" s="209"/>
      <c r="C7" s="175"/>
      <c r="D7" s="174"/>
      <c r="E7" s="171"/>
    </row>
    <row r="8" spans="1:5">
      <c r="A8" s="209"/>
      <c r="B8" s="209"/>
      <c r="C8" s="175"/>
      <c r="D8" s="174"/>
      <c r="E8" s="171"/>
    </row>
    <row r="9" spans="1:5">
      <c r="A9" s="209"/>
      <c r="B9" s="209"/>
      <c r="C9" s="176"/>
      <c r="D9" s="174"/>
      <c r="E9" s="171"/>
    </row>
    <row r="10" spans="1:5">
      <c r="A10" s="209"/>
      <c r="B10" s="209"/>
      <c r="C10" s="175"/>
      <c r="D10" s="174"/>
      <c r="E10" s="171"/>
    </row>
    <row r="11" spans="1:5">
      <c r="A11" s="211"/>
      <c r="B11" s="211"/>
      <c r="C11" s="175"/>
      <c r="D11" s="174"/>
      <c r="E11" s="171"/>
    </row>
    <row r="12" spans="1:5">
      <c r="A12" s="211"/>
      <c r="B12" s="211"/>
      <c r="C12" s="175"/>
      <c r="D12" s="174"/>
      <c r="E12" s="171"/>
    </row>
  </sheetData>
  <mergeCells count="11">
    <mergeCell ref="A8:B8"/>
    <mergeCell ref="A9:B9"/>
    <mergeCell ref="A10:B10"/>
    <mergeCell ref="A11:B11"/>
    <mergeCell ref="A12:B12"/>
    <mergeCell ref="A7:B7"/>
    <mergeCell ref="A2:B2"/>
    <mergeCell ref="A3:B3"/>
    <mergeCell ref="A4:B4"/>
    <mergeCell ref="A5:B5"/>
    <mergeCell ref="A6:B6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9BEDAA-2658-45A6-A034-B3389D74B8BA}">
          <x14:formula1>
            <xm:f>rekentool!$A$1:$A$5</xm:f>
          </x14:formula1>
          <xm:sqref>D2 D5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9D604-6237-45E6-A774-043E50A36F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Vast</vt:lpstr>
      <vt:lpstr>November</vt:lpstr>
      <vt:lpstr>ErrorLog</vt:lpstr>
      <vt:lpstr>Referenties</vt:lpstr>
      <vt:lpstr>Invoer</vt:lpstr>
      <vt:lpstr>rekentool</vt:lpstr>
      <vt:lpstr>Database</vt:lpstr>
      <vt:lpstr>Maand</vt:lpstr>
      <vt:lpstr>tbl_cat_sub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Manasse Visser</cp:lastModifiedBy>
  <dcterms:created xsi:type="dcterms:W3CDTF">2025-11-19T15:13:13Z</dcterms:created>
  <dcterms:modified xsi:type="dcterms:W3CDTF">2025-11-29T16:26:06Z</dcterms:modified>
</cp:coreProperties>
</file>