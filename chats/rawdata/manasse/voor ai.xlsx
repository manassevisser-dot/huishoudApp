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connectie-my.sharepoint.com/personal/manasse_visser_arnhem_nl/Documents/Bureaublad/"/>
    </mc:Choice>
  </mc:AlternateContent>
  <xr:revisionPtr revIDLastSave="0" documentId="8_{51834CDE-1028-4815-B0F9-B43E7F068CA5}" xr6:coauthVersionLast="47" xr6:coauthVersionMax="47" xr10:uidLastSave="{00000000-0000-0000-0000-000000000000}"/>
  <bookViews>
    <workbookView xWindow="-110" yWindow="-110" windowWidth="19420" windowHeight="11500" xr2:uid="{C642C3D6-139A-43CC-A89A-77C8D33907CE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C89" i="1"/>
  <c r="C88" i="1"/>
  <c r="E88" i="1" s="1"/>
  <c r="E87" i="1"/>
  <c r="C87" i="1"/>
  <c r="E86" i="1"/>
  <c r="C86" i="1"/>
  <c r="C85" i="1"/>
  <c r="C90" i="1" s="1"/>
  <c r="E90" i="1" s="1"/>
  <c r="E79" i="1" a="1"/>
  <c r="E79" i="1" s="1"/>
  <c r="E78" i="1" a="1"/>
  <c r="E78" i="1" s="1"/>
  <c r="E77" i="1" a="1"/>
  <c r="E77" i="1" s="1"/>
  <c r="E76" i="1" a="1"/>
  <c r="E76" i="1" s="1"/>
  <c r="C74" i="1"/>
  <c r="E74" i="1" s="1" a="1"/>
  <c r="E74" i="1" s="1"/>
  <c r="C73" i="1"/>
  <c r="E73" i="1" s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C59" i="1"/>
  <c r="E59" i="1" s="1" a="1"/>
  <c r="E59" i="1" s="1"/>
  <c r="E58" i="1"/>
  <c r="E58" i="1" a="1"/>
  <c r="C57" i="1"/>
  <c r="E57" i="1" s="1" a="1"/>
  <c r="E57" i="1" s="1"/>
  <c r="E55" i="1" a="1"/>
  <c r="E55" i="1" s="1"/>
  <c r="E54" i="1" a="1"/>
  <c r="E54" i="1" s="1"/>
  <c r="C53" i="1"/>
  <c r="E53" i="1" s="1" a="1"/>
  <c r="E53" i="1" s="1"/>
  <c r="E52" i="1" a="1"/>
  <c r="E52" i="1" s="1"/>
  <c r="C51" i="1"/>
  <c r="E51" i="1" s="1" a="1"/>
  <c r="E51" i="1" s="1"/>
  <c r="E50" i="1" a="1"/>
  <c r="E50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C43" i="1"/>
  <c r="E43" i="1" s="1"/>
  <c r="E42" i="1" a="1"/>
  <c r="E42" i="1" s="1"/>
  <c r="E41" i="1" a="1"/>
  <c r="E41" i="1" s="1"/>
  <c r="C39" i="1"/>
  <c r="E39" i="1" s="1"/>
  <c r="E38" i="1"/>
  <c r="E37" i="1" a="1"/>
  <c r="E37" i="1" s="1"/>
  <c r="E36" i="1" a="1"/>
  <c r="E36" i="1" s="1"/>
  <c r="E35" i="1"/>
  <c r="E35" i="1" a="1"/>
  <c r="E34" i="1"/>
  <c r="E34" i="1" a="1"/>
  <c r="C33" i="1"/>
  <c r="E33" i="1" s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3" i="1" a="1"/>
  <c r="E23" i="1" s="1"/>
  <c r="E22" i="1" a="1"/>
  <c r="E22" i="1" s="1"/>
  <c r="E21" i="1" a="1"/>
  <c r="E21" i="1" s="1"/>
  <c r="E20" i="1" a="1"/>
  <c r="E20" i="1" s="1"/>
  <c r="E19" i="1"/>
  <c r="E19" i="1" a="1"/>
  <c r="E18" i="1"/>
  <c r="E18" i="1" a="1"/>
  <c r="E17" i="1"/>
  <c r="E17" i="1" a="1"/>
  <c r="E16" i="1" a="1"/>
  <c r="E16" i="1" s="1"/>
  <c r="E15" i="1"/>
  <c r="C14" i="1"/>
  <c r="E14" i="1" s="1"/>
  <c r="E13" i="1" a="1"/>
  <c r="E13" i="1" s="1"/>
  <c r="E24" i="1" l="1"/>
  <c r="E82" i="1" s="1"/>
  <c r="E80" i="1"/>
  <c r="E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<sst xmlns="http://schemas.openxmlformats.org/spreadsheetml/2006/main" count="171" uniqueCount="112">
  <si>
    <t>Overzicht inkomsten en uitgaven</t>
  </si>
  <si>
    <t>Mijn huishouden bestaat uit:</t>
  </si>
  <si>
    <t>Volwassenen:</t>
  </si>
  <si>
    <t>Aantal:</t>
  </si>
  <si>
    <t>Kinderen:</t>
  </si>
  <si>
    <t>man tot 50 jaar</t>
  </si>
  <si>
    <t>geen kind</t>
  </si>
  <si>
    <t>man van 51 tot 69 jaar</t>
  </si>
  <si>
    <t>kind tussen 1-3 jaar</t>
  </si>
  <si>
    <t>man boven de 70 jaar</t>
  </si>
  <si>
    <t>kind tussen 4-8 jaar</t>
  </si>
  <si>
    <t>vrouw die zwangere is</t>
  </si>
  <si>
    <t>kind tussen 9-13 jaar</t>
  </si>
  <si>
    <t>vrouw die borstvoeding geeft</t>
  </si>
  <si>
    <t>puberzoon van 14 tot 18 jaar</t>
  </si>
  <si>
    <t>vrouw tot 50 jaar</t>
  </si>
  <si>
    <t>puberdochter 14 tot 18 jaar</t>
  </si>
  <si>
    <t>vrouw van 51 tot 69 jaar</t>
  </si>
  <si>
    <t>volwassen zoon</t>
  </si>
  <si>
    <t>Er is/zijn huisdier(en)?</t>
  </si>
  <si>
    <t>vrouw boven de 70 jaar</t>
  </si>
  <si>
    <t>volwassen dochter</t>
  </si>
  <si>
    <t>Nee</t>
  </si>
  <si>
    <t>INKOMEN</t>
  </si>
  <si>
    <t>Bedrag</t>
  </si>
  <si>
    <t>Periode</t>
  </si>
  <si>
    <t>Instantie/werkgever</t>
  </si>
  <si>
    <t>Datum inkomen</t>
  </si>
  <si>
    <t>Inkomen/uitkering</t>
  </si>
  <si>
    <t>maand</t>
  </si>
  <si>
    <t>Vakantiegeld</t>
  </si>
  <si>
    <t>jaar</t>
  </si>
  <si>
    <t>Kinderbijslag</t>
  </si>
  <si>
    <t>kwartaal</t>
  </si>
  <si>
    <t>Tegemoetkoming studiekosten</t>
  </si>
  <si>
    <t>4 weken</t>
  </si>
  <si>
    <t>Voorlopige teruggave Belastingen</t>
  </si>
  <si>
    <t>Huurtoeslag</t>
  </si>
  <si>
    <t>Zorgtoeslag</t>
  </si>
  <si>
    <t>Kinderopvangtoeslag</t>
  </si>
  <si>
    <t>Kindgebonden budget</t>
  </si>
  <si>
    <t>Heffingskortingen Belastingen</t>
  </si>
  <si>
    <t>Overige inkomsten</t>
  </si>
  <si>
    <t>Totaal inkomsten</t>
  </si>
  <si>
    <t>UITGAVEN</t>
  </si>
  <si>
    <t>Vaste lasten</t>
  </si>
  <si>
    <t>Instantie</t>
  </si>
  <si>
    <t>Datum</t>
  </si>
  <si>
    <t>Wonen</t>
  </si>
  <si>
    <t>Periode:</t>
  </si>
  <si>
    <t>Huur (kaal)</t>
  </si>
  <si>
    <t>Hypotheek (bruto)</t>
  </si>
  <si>
    <t>Levensverzekering</t>
  </si>
  <si>
    <t>Erfpacht</t>
  </si>
  <si>
    <t>Servicekosten</t>
  </si>
  <si>
    <t>Kostgeld (te betalen)</t>
  </si>
  <si>
    <t>Energie gas en electra</t>
  </si>
  <si>
    <t>Netwerk energie</t>
  </si>
  <si>
    <t>Netwerk gas</t>
  </si>
  <si>
    <t>Water</t>
  </si>
  <si>
    <t>Onroerende Zaak belasting</t>
  </si>
  <si>
    <t>Afvalstoffenheffing</t>
  </si>
  <si>
    <t>Waterzuiveringsheffing</t>
  </si>
  <si>
    <t>Verzekeren</t>
  </si>
  <si>
    <t>Ziektekostenverzekering</t>
  </si>
  <si>
    <t>Aanvullende ziektekosten</t>
  </si>
  <si>
    <t>Eigen risico ziektekosten</t>
  </si>
  <si>
    <t>Opstalverzekering</t>
  </si>
  <si>
    <t>Aansprakelijkheidsverzekering</t>
  </si>
  <si>
    <t>Inboedelverzekering</t>
  </si>
  <si>
    <t>Uitvaart verzekering</t>
  </si>
  <si>
    <t>Abonnementen</t>
  </si>
  <si>
    <t>Vaste telefoon</t>
  </si>
  <si>
    <t xml:space="preserve">Mobiele telefoon </t>
  </si>
  <si>
    <t>Internet en Televisie</t>
  </si>
  <si>
    <t xml:space="preserve">Abonnement </t>
  </si>
  <si>
    <t>Rekening</t>
  </si>
  <si>
    <t>Contributie verenigingen</t>
  </si>
  <si>
    <t>Overige kosten</t>
  </si>
  <si>
    <t>Eten</t>
  </si>
  <si>
    <t>Dit is een voorspelling:</t>
  </si>
  <si>
    <t>Huishoudgeld</t>
  </si>
  <si>
    <t>Financiele remweg</t>
  </si>
  <si>
    <t>Aflossen aan schulden</t>
  </si>
  <si>
    <t>Actuele lening kredietbank</t>
  </si>
  <si>
    <t>Bankkosten</t>
  </si>
  <si>
    <t>Financieel beheer 6 euro (SB)</t>
  </si>
  <si>
    <t>Betalingsregelingen</t>
  </si>
  <si>
    <t>Vervoerskosten</t>
  </si>
  <si>
    <t>Wegenbelasting</t>
  </si>
  <si>
    <t>Autoverzekering</t>
  </si>
  <si>
    <t>APK</t>
  </si>
  <si>
    <t>Reserveren onderhoud auto</t>
  </si>
  <si>
    <t>Afbetaling auto /Lease bij werk</t>
  </si>
  <si>
    <t>Afschrijving auto</t>
  </si>
  <si>
    <t>Brandstof</t>
  </si>
  <si>
    <t>Openbaar vervoer</t>
  </si>
  <si>
    <t>Kinderen en opleiding</t>
  </si>
  <si>
    <t>Te betalen alimentatie</t>
  </si>
  <si>
    <t>School- en studiekosten</t>
  </si>
  <si>
    <t>Kinderopvang</t>
  </si>
  <si>
    <t>sporten</t>
  </si>
  <si>
    <t>Totaal uitgaven</t>
  </si>
  <si>
    <t>Verschil inkomen en uitgaven</t>
  </si>
  <si>
    <t>SPAAR ADVIES:</t>
  </si>
  <si>
    <t>Sparen voor kinderen</t>
  </si>
  <si>
    <t>Sparen feestdagen</t>
  </si>
  <si>
    <t>Sparen kleding</t>
  </si>
  <si>
    <t>Sparen huisdieren</t>
  </si>
  <si>
    <t>Sparen vakantie en vrijetijd</t>
  </si>
  <si>
    <t>Totaal sparen per maand</t>
  </si>
  <si>
    <t>per 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</si>
</sst>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&quot;€&quot;\ #,##0.00"/>
  </numFmts>
  <fonts count="15">
    <font>
      <sz val="8"/>
      <color theme="1"/>
      <name val="Lato"/>
      <family val="2"/>
    </font>
    <font>
      <sz val="8"/>
      <color theme="1"/>
      <name val="Lato"/>
      <family val="2"/>
    </font>
    <font>
      <sz val="8"/>
      <name val="Late"/>
    </font>
    <font>
      <b/>
      <sz val="8"/>
      <name val="Late"/>
    </font>
    <font>
      <sz val="8"/>
      <color rgb="FF000000"/>
      <name val="Late"/>
    </font>
    <font>
      <sz val="8"/>
      <color rgb="FF000000"/>
      <name val="Lato"/>
      <family val="2"/>
    </font>
    <font>
      <b/>
      <sz val="8"/>
      <color rgb="FF000000"/>
      <name val="Late"/>
    </font>
    <font>
      <b/>
      <sz val="8"/>
      <color rgb="FFDAF2D0"/>
      <name val="Late"/>
    </font>
    <font>
      <b/>
      <sz val="8"/>
      <color rgb="FFC1F0C8"/>
      <name val="Late"/>
    </font>
    <font>
      <i/>
      <sz val="8"/>
      <color rgb="FF000000"/>
      <name val="Late"/>
    </font>
    <font>
      <b/>
      <sz val="8"/>
      <color rgb="FF156082"/>
      <name val="Late"/>
    </font>
    <font>
      <b/>
      <sz val="8"/>
      <color rgb="FFF2CEEF"/>
      <name val="Late"/>
    </font>
    <font>
      <b/>
      <sz val="8"/>
      <color rgb="FFDAF2D0"/>
      <name val="Lato"/>
      <family val="2"/>
    </font>
    <font>
      <b/>
      <i/>
      <sz val="8"/>
      <color rgb="FF000000"/>
      <name val="Late"/>
    </font>
    <font>
      <sz val="8"/>
      <color rgb="FF000000"/>
      <name val="Laot"/>
    </font>
  </fonts>
  <fills count="12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FF2F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275317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0D3512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12501A"/>
      </left>
      <right style="mediumDashDot">
        <color rgb="FF12501A"/>
      </right>
      <top style="medium">
        <color rgb="FF12501A"/>
      </top>
      <bottom style="dotted">
        <color rgb="FF12501A"/>
      </bottom>
      <diagonal/>
    </border>
    <border>
      <left style="mediumDashDot">
        <color rgb="FF12501A"/>
      </left>
      <right style="medium">
        <color rgb="FF12501A"/>
      </right>
      <top style="medium">
        <color rgb="FF12501A"/>
      </top>
      <bottom style="dotted">
        <color rgb="FF12501A"/>
      </bottom>
      <diagonal/>
    </border>
    <border>
      <left style="medium">
        <color rgb="FF12501A"/>
      </left>
      <right style="mediumDashDot">
        <color rgb="FF12501A"/>
      </right>
      <top style="dotted">
        <color rgb="FF12501A"/>
      </top>
      <bottom style="dotted">
        <color rgb="FF12501A"/>
      </bottom>
      <diagonal/>
    </border>
    <border>
      <left style="mediumDashDot">
        <color rgb="FF12501A"/>
      </left>
      <right style="medium">
        <color rgb="FF12501A"/>
      </right>
      <top style="dotted">
        <color rgb="FF12501A"/>
      </top>
      <bottom style="dotted">
        <color rgb="FF12501A"/>
      </bottom>
      <diagonal/>
    </border>
    <border>
      <left style="medium">
        <color rgb="FF12501A"/>
      </left>
      <right style="mediumDashDot">
        <color rgb="FF12501A"/>
      </right>
      <top style="dotted">
        <color rgb="FF12501A"/>
      </top>
      <bottom style="medium">
        <color rgb="FF12501A"/>
      </bottom>
      <diagonal/>
    </border>
    <border>
      <left style="mediumDashDot">
        <color rgb="FF12501A"/>
      </left>
      <right style="medium">
        <color rgb="FF12501A"/>
      </right>
      <top style="dotted">
        <color rgb="FF12501A"/>
      </top>
      <bottom style="medium">
        <color rgb="FF12501A"/>
      </bottom>
      <diagonal/>
    </border>
    <border>
      <left style="thick">
        <color rgb="FF47D359"/>
      </left>
      <right/>
      <top style="thin">
        <color rgb="FF47D359"/>
      </top>
      <bottom style="dotted">
        <color rgb="FF47D359"/>
      </bottom>
      <diagonal/>
    </border>
    <border>
      <left/>
      <right style="thin">
        <color rgb="FF47D359"/>
      </right>
      <top style="thin">
        <color rgb="FF47D359"/>
      </top>
      <bottom style="dotted">
        <color rgb="FF47D359"/>
      </bottom>
      <diagonal/>
    </border>
    <border>
      <left style="thin">
        <color rgb="FF47D359"/>
      </left>
      <right style="thick">
        <color rgb="FF47D359"/>
      </right>
      <top style="thin">
        <color rgb="FF47D359"/>
      </top>
      <bottom style="dotted">
        <color rgb="FF47D359"/>
      </bottom>
      <diagonal/>
    </border>
    <border>
      <left style="thick">
        <color rgb="FF47D359"/>
      </left>
      <right style="thin">
        <color rgb="FF47D359"/>
      </right>
      <top style="dotted">
        <color rgb="FF47D359"/>
      </top>
      <bottom style="dotted">
        <color rgb="FF47D359"/>
      </bottom>
      <diagonal/>
    </border>
    <border>
      <left/>
      <right style="thin">
        <color rgb="FF47D359"/>
      </right>
      <top style="dotted">
        <color rgb="FF47D359"/>
      </top>
      <bottom style="dotted">
        <color rgb="FF47D359"/>
      </bottom>
      <diagonal/>
    </border>
    <border>
      <left style="thin">
        <color rgb="FF47D359"/>
      </left>
      <right style="thick">
        <color rgb="FF47D359"/>
      </right>
      <top style="dotted">
        <color rgb="FF47D359"/>
      </top>
      <bottom style="dotted">
        <color rgb="FF47D359"/>
      </bottom>
      <diagonal/>
    </border>
    <border>
      <left style="thick">
        <color rgb="FF47D359"/>
      </left>
      <right/>
      <top style="dotted">
        <color rgb="FF47D359"/>
      </top>
      <bottom style="dotted">
        <color rgb="FF47D359"/>
      </bottom>
      <diagonal/>
    </border>
    <border>
      <left style="thick">
        <color rgb="FF47D359"/>
      </left>
      <right style="thin">
        <color rgb="FF47D359"/>
      </right>
      <top style="dotted">
        <color rgb="FF47D359"/>
      </top>
      <bottom style="thin">
        <color rgb="FF47D359"/>
      </bottom>
      <diagonal/>
    </border>
    <border>
      <left/>
      <right style="thin">
        <color rgb="FF47D359"/>
      </right>
      <top style="dotted">
        <color rgb="FF47D359"/>
      </top>
      <bottom style="thin">
        <color rgb="FF47D359"/>
      </bottom>
      <diagonal/>
    </border>
    <border>
      <left style="thin">
        <color rgb="FF47D359"/>
      </left>
      <right style="thick">
        <color rgb="FF47D359"/>
      </right>
      <top style="dotted">
        <color rgb="FF47D359"/>
      </top>
      <bottom style="thin">
        <color rgb="FF47D359"/>
      </bottom>
      <diagonal/>
    </border>
    <border>
      <left style="thick">
        <color rgb="FF47D359"/>
      </left>
      <right style="thin">
        <color rgb="FF47D359"/>
      </right>
      <top style="thin">
        <color rgb="FF47D359"/>
      </top>
      <bottom style="dotted">
        <color rgb="FF47D359"/>
      </bottom>
      <diagonal/>
    </border>
    <border>
      <left/>
      <right style="thick">
        <color rgb="FF47D359"/>
      </right>
      <top style="thin">
        <color rgb="FF47D359"/>
      </top>
      <bottom style="dotted">
        <color rgb="FF47D359"/>
      </bottom>
      <diagonal/>
    </border>
    <border>
      <left/>
      <right style="thick">
        <color rgb="FF47D359"/>
      </right>
      <top style="dotted">
        <color rgb="FF47D359"/>
      </top>
      <bottom style="dotted">
        <color rgb="FF47D359"/>
      </bottom>
      <diagonal/>
    </border>
    <border>
      <left/>
      <right style="thick">
        <color rgb="FF47D359"/>
      </right>
      <top style="dotted">
        <color rgb="FF47D359"/>
      </top>
      <bottom style="thin">
        <color rgb="FF47D359"/>
      </bottom>
      <diagonal/>
    </border>
    <border>
      <left/>
      <right/>
      <top style="dotted">
        <color rgb="FF47D359"/>
      </top>
      <bottom style="thin">
        <color rgb="FF47D359"/>
      </bottom>
      <diagonal/>
    </border>
    <border>
      <left style="thick">
        <color rgb="FF47D359"/>
      </left>
      <right/>
      <top style="thin">
        <color rgb="FF47D359"/>
      </top>
      <bottom style="thin">
        <color rgb="FF47D359"/>
      </bottom>
      <diagonal/>
    </border>
    <border>
      <left style="thick">
        <color rgb="FF47D359"/>
      </left>
      <right/>
      <top style="dotted">
        <color rgb="FF47D359"/>
      </top>
      <bottom style="thin">
        <color rgb="FF47D359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20">
    <xf numFmtId="0" fontId="0" fillId="0" borderId="0" xfId="0"/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right" vertical="center"/>
    </xf>
    <xf numFmtId="0" fontId="6" fillId="4" borderId="0" xfId="1" applyFont="1" applyFill="1" applyAlignment="1">
      <alignment horizontal="center"/>
    </xf>
    <xf numFmtId="0" fontId="6" fillId="4" borderId="6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left"/>
    </xf>
    <xf numFmtId="0" fontId="3" fillId="5" borderId="3" xfId="1" applyFont="1" applyFill="1" applyBorder="1" applyAlignment="1">
      <alignment horizontal="left"/>
    </xf>
    <xf numFmtId="0" fontId="4" fillId="2" borderId="0" xfId="1" applyFont="1" applyFill="1"/>
    <xf numFmtId="0" fontId="2" fillId="2" borderId="6" xfId="1" applyFont="1" applyFill="1" applyBorder="1" applyAlignment="1">
      <alignment horizontal="center" vertical="center" wrapText="1"/>
    </xf>
    <xf numFmtId="0" fontId="2" fillId="6" borderId="7" xfId="1" applyFont="1" applyFill="1" applyBorder="1" applyAlignment="1">
      <alignment horizontal="right" vertical="top" wrapText="1"/>
    </xf>
    <xf numFmtId="0" fontId="4" fillId="7" borderId="29" xfId="1" applyFont="1" applyFill="1" applyBorder="1" applyAlignment="1" applyProtection="1">
      <alignment horizontal="center"/>
      <protection locked="0"/>
    </xf>
    <xf numFmtId="0" fontId="4" fillId="7" borderId="30" xfId="1" applyFont="1" applyFill="1" applyBorder="1" applyAlignment="1" applyProtection="1">
      <alignment horizontal="center"/>
      <protection locked="0"/>
    </xf>
    <xf numFmtId="0" fontId="4" fillId="6" borderId="8" xfId="1" applyFont="1" applyFill="1" applyBorder="1" applyAlignment="1">
      <alignment horizontal="left"/>
    </xf>
    <xf numFmtId="0" fontId="4" fillId="6" borderId="9" xfId="1" applyFont="1" applyFill="1" applyBorder="1" applyAlignment="1">
      <alignment horizontal="left"/>
    </xf>
    <xf numFmtId="0" fontId="2" fillId="6" borderId="10" xfId="1" applyFont="1" applyFill="1" applyBorder="1" applyAlignment="1">
      <alignment horizontal="right" vertical="top" wrapText="1"/>
    </xf>
    <xf numFmtId="0" fontId="4" fillId="7" borderId="31" xfId="1" applyFont="1" applyFill="1" applyBorder="1" applyAlignment="1" applyProtection="1">
      <alignment horizontal="center"/>
      <protection locked="0"/>
    </xf>
    <xf numFmtId="0" fontId="4" fillId="7" borderId="32" xfId="1" applyFont="1" applyFill="1" applyBorder="1" applyAlignment="1" applyProtection="1">
      <alignment horizontal="center"/>
      <protection locked="0"/>
    </xf>
    <xf numFmtId="0" fontId="2" fillId="6" borderId="11" xfId="1" applyFont="1" applyFill="1" applyBorder="1" applyAlignment="1">
      <alignment horizontal="left" vertical="top" wrapText="1"/>
    </xf>
    <xf numFmtId="0" fontId="2" fillId="6" borderId="12" xfId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2" fillId="6" borderId="13" xfId="1" applyFont="1" applyFill="1" applyBorder="1" applyAlignment="1">
      <alignment horizontal="right" vertical="top" wrapText="1"/>
    </xf>
    <xf numFmtId="0" fontId="4" fillId="7" borderId="33" xfId="1" applyFont="1" applyFill="1" applyBorder="1" applyAlignment="1" applyProtection="1">
      <alignment horizontal="center"/>
      <protection locked="0"/>
    </xf>
    <xf numFmtId="0" fontId="4" fillId="7" borderId="34" xfId="1" applyFont="1" applyFill="1" applyBorder="1" applyAlignment="1" applyProtection="1">
      <alignment horizontal="center"/>
      <protection locked="0"/>
    </xf>
    <xf numFmtId="0" fontId="2" fillId="6" borderId="14" xfId="1" applyFont="1" applyFill="1" applyBorder="1" applyAlignment="1">
      <alignment horizontal="left" vertical="top" wrapText="1"/>
    </xf>
    <xf numFmtId="0" fontId="2" fillId="6" borderId="15" xfId="1" applyFont="1" applyFill="1" applyBorder="1" applyAlignment="1">
      <alignment horizontal="left" vertical="top" wrapText="1"/>
    </xf>
    <xf numFmtId="0" fontId="4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 vertical="top" wrapText="1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top"/>
    </xf>
    <xf numFmtId="44" fontId="4" fillId="2" borderId="0" xfId="2" applyFont="1" applyFill="1" applyBorder="1" applyProtection="1"/>
    <xf numFmtId="0" fontId="3" fillId="2" borderId="0" xfId="1" applyFont="1" applyFill="1" applyAlignment="1">
      <alignment wrapText="1"/>
    </xf>
    <xf numFmtId="44" fontId="2" fillId="6" borderId="0" xfId="2" applyFont="1" applyFill="1" applyBorder="1" applyAlignment="1" applyProtection="1">
      <alignment horizontal="left"/>
    </xf>
    <xf numFmtId="164" fontId="4" fillId="7" borderId="35" xfId="2" applyNumberFormat="1" applyFont="1" applyFill="1" applyBorder="1" applyAlignment="1" applyProtection="1">
      <alignment horizontal="center" vertical="center"/>
      <protection locked="0"/>
    </xf>
    <xf numFmtId="0" fontId="4" fillId="8" borderId="16" xfId="1" applyFont="1" applyFill="1" applyBorder="1" applyAlignment="1" applyProtection="1">
      <alignment horizontal="center" vertical="center"/>
      <protection locked="0"/>
    </xf>
    <xf numFmtId="0" fontId="6" fillId="7" borderId="36" xfId="1" applyFont="1" applyFill="1" applyBorder="1" applyAlignment="1" applyProtection="1">
      <alignment horizontal="center"/>
      <protection locked="0"/>
    </xf>
    <xf numFmtId="0" fontId="6" fillId="7" borderId="37" xfId="1" applyFont="1" applyFill="1" applyBorder="1" applyAlignment="1" applyProtection="1">
      <alignment horizontal="center"/>
      <protection locked="0"/>
    </xf>
    <xf numFmtId="0" fontId="2" fillId="6" borderId="0" xfId="1" applyFont="1" applyFill="1" applyAlignment="1">
      <alignment horizontal="left"/>
    </xf>
    <xf numFmtId="164" fontId="4" fillId="7" borderId="38" xfId="2" applyNumberFormat="1" applyFont="1" applyFill="1" applyBorder="1" applyAlignment="1" applyProtection="1">
      <alignment horizontal="center" vertical="center"/>
      <protection locked="0"/>
    </xf>
    <xf numFmtId="0" fontId="4" fillId="2" borderId="17" xfId="1" applyFont="1" applyFill="1" applyBorder="1" applyAlignment="1">
      <alignment horizontal="center" vertical="center"/>
    </xf>
    <xf numFmtId="44" fontId="4" fillId="7" borderId="39" xfId="2" applyFont="1" applyFill="1" applyBorder="1" applyProtection="1">
      <protection locked="0"/>
    </xf>
    <xf numFmtId="0" fontId="6" fillId="7" borderId="40" xfId="1" applyFont="1" applyFill="1" applyBorder="1" applyAlignment="1" applyProtection="1">
      <alignment horizontal="center"/>
      <protection locked="0"/>
    </xf>
    <xf numFmtId="0" fontId="4" fillId="2" borderId="18" xfId="1" applyFont="1" applyFill="1" applyBorder="1" applyAlignment="1">
      <alignment horizontal="center" vertical="center"/>
    </xf>
    <xf numFmtId="164" fontId="4" fillId="7" borderId="41" xfId="2" applyNumberFormat="1" applyFont="1" applyFill="1" applyBorder="1" applyAlignment="1" applyProtection="1">
      <alignment horizontal="center" vertical="center"/>
      <protection locked="0"/>
    </xf>
    <xf numFmtId="0" fontId="6" fillId="7" borderId="39" xfId="1" applyFont="1" applyFill="1" applyBorder="1" applyAlignment="1" applyProtection="1">
      <alignment horizontal="center"/>
      <protection locked="0"/>
    </xf>
    <xf numFmtId="164" fontId="4" fillId="7" borderId="38" xfId="1" applyNumberFormat="1" applyFont="1" applyFill="1" applyBorder="1" applyProtection="1">
      <protection locked="0"/>
    </xf>
    <xf numFmtId="0" fontId="4" fillId="2" borderId="19" xfId="1" applyFont="1" applyFill="1" applyBorder="1" applyAlignment="1">
      <alignment horizontal="center" vertical="center"/>
    </xf>
    <xf numFmtId="0" fontId="4" fillId="7" borderId="38" xfId="1" applyFont="1" applyFill="1" applyBorder="1" applyProtection="1">
      <protection locked="0"/>
    </xf>
    <xf numFmtId="0" fontId="4" fillId="6" borderId="0" xfId="1" applyFont="1" applyFill="1" applyAlignment="1">
      <alignment horizontal="left"/>
    </xf>
    <xf numFmtId="164" fontId="4" fillId="7" borderId="42" xfId="1" applyNumberFormat="1" applyFont="1" applyFill="1" applyBorder="1" applyProtection="1">
      <protection locked="0"/>
    </xf>
    <xf numFmtId="0" fontId="6" fillId="7" borderId="43" xfId="1" applyFont="1" applyFill="1" applyBorder="1" applyAlignment="1" applyProtection="1">
      <alignment horizontal="center"/>
      <protection locked="0"/>
    </xf>
    <xf numFmtId="0" fontId="6" fillId="7" borderId="44" xfId="1" applyFont="1" applyFill="1" applyBorder="1" applyAlignment="1" applyProtection="1">
      <alignment horizontal="center"/>
      <protection locked="0"/>
    </xf>
    <xf numFmtId="0" fontId="4" fillId="6" borderId="0" xfId="1" applyFont="1" applyFill="1" applyAlignment="1">
      <alignment horizontal="left" vertical="center"/>
    </xf>
    <xf numFmtId="0" fontId="3" fillId="6" borderId="0" xfId="1" applyFont="1" applyFill="1" applyAlignment="1">
      <alignment horizontal="left" vertical="center"/>
    </xf>
    <xf numFmtId="0" fontId="7" fillId="9" borderId="20" xfId="1" applyFont="1" applyFill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164" fontId="7" fillId="9" borderId="21" xfId="1" applyNumberFormat="1" applyFont="1" applyFill="1" applyBorder="1"/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vertical="center"/>
    </xf>
    <xf numFmtId="0" fontId="9" fillId="2" borderId="0" xfId="1" applyFont="1" applyFill="1" applyAlignment="1">
      <alignment horizontal="left"/>
    </xf>
    <xf numFmtId="0" fontId="6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left" vertical="center"/>
    </xf>
    <xf numFmtId="164" fontId="4" fillId="7" borderId="45" xfId="1" applyNumberFormat="1" applyFont="1" applyFill="1" applyBorder="1" applyProtection="1">
      <protection locked="0"/>
    </xf>
    <xf numFmtId="0" fontId="6" fillId="7" borderId="46" xfId="1" applyFont="1" applyFill="1" applyBorder="1" applyAlignment="1" applyProtection="1">
      <alignment horizontal="center"/>
      <protection locked="0"/>
    </xf>
    <xf numFmtId="0" fontId="6" fillId="2" borderId="0" xfId="1" applyFont="1" applyFill="1" applyAlignment="1">
      <alignment horizontal="center"/>
    </xf>
    <xf numFmtId="0" fontId="6" fillId="7" borderId="47" xfId="1" applyFont="1" applyFill="1" applyBorder="1" applyAlignment="1" applyProtection="1">
      <alignment horizontal="center"/>
      <protection locked="0"/>
    </xf>
    <xf numFmtId="0" fontId="6" fillId="7" borderId="48" xfId="1" applyFont="1" applyFill="1" applyBorder="1" applyAlignment="1" applyProtection="1">
      <alignment horizontal="center"/>
      <protection locked="0"/>
    </xf>
    <xf numFmtId="0" fontId="6" fillId="2" borderId="19" xfId="1" applyFont="1" applyFill="1" applyBorder="1" applyAlignment="1">
      <alignment horizontal="center" vertical="center"/>
    </xf>
    <xf numFmtId="164" fontId="4" fillId="7" borderId="45" xfId="2" applyNumberFormat="1" applyFont="1" applyFill="1" applyBorder="1" applyAlignment="1" applyProtection="1">
      <alignment horizontal="center" vertical="center"/>
      <protection locked="0"/>
    </xf>
    <xf numFmtId="164" fontId="4" fillId="7" borderId="42" xfId="2" applyNumberFormat="1" applyFont="1" applyFill="1" applyBorder="1" applyAlignment="1" applyProtection="1">
      <alignment horizontal="center" vertical="center"/>
      <protection locked="0"/>
    </xf>
    <xf numFmtId="0" fontId="4" fillId="6" borderId="6" xfId="1" applyFont="1" applyFill="1" applyBorder="1" applyAlignment="1">
      <alignment horizontal="left"/>
    </xf>
    <xf numFmtId="164" fontId="4" fillId="2" borderId="0" xfId="2" applyNumberFormat="1" applyFont="1" applyFill="1" applyBorder="1" applyProtection="1"/>
    <xf numFmtId="164" fontId="4" fillId="7" borderId="36" xfId="2" applyNumberFormat="1" applyFont="1" applyFill="1" applyBorder="1" applyAlignment="1" applyProtection="1">
      <alignment horizontal="center" vertical="center"/>
      <protection locked="0"/>
    </xf>
    <xf numFmtId="164" fontId="4" fillId="7" borderId="39" xfId="2" applyNumberFormat="1" applyFont="1" applyFill="1" applyBorder="1" applyAlignment="1" applyProtection="1">
      <alignment horizontal="center" vertical="center"/>
      <protection locked="0"/>
    </xf>
    <xf numFmtId="164" fontId="4" fillId="7" borderId="49" xfId="2" applyNumberFormat="1" applyFont="1" applyFill="1" applyBorder="1" applyAlignment="1" applyProtection="1">
      <alignment horizontal="center" vertical="center"/>
      <protection locked="0"/>
    </xf>
    <xf numFmtId="0" fontId="4" fillId="6" borderId="0" xfId="1" applyFont="1" applyFill="1" applyAlignment="1">
      <alignment horizontal="left"/>
    </xf>
    <xf numFmtId="164" fontId="4" fillId="2" borderId="22" xfId="2" applyNumberFormat="1" applyFont="1" applyFill="1" applyBorder="1" applyAlignment="1" applyProtection="1">
      <alignment horizontal="center" vertical="center"/>
    </xf>
    <xf numFmtId="0" fontId="4" fillId="6" borderId="0" xfId="1" applyFont="1" applyFill="1"/>
    <xf numFmtId="164" fontId="4" fillId="7" borderId="50" xfId="2" applyNumberFormat="1" applyFont="1" applyFill="1" applyBorder="1" applyAlignment="1" applyProtection="1">
      <alignment horizontal="center" vertical="center"/>
      <protection locked="0"/>
    </xf>
    <xf numFmtId="164" fontId="4" fillId="2" borderId="23" xfId="2" applyNumberFormat="1" applyFont="1" applyFill="1" applyBorder="1" applyAlignment="1" applyProtection="1">
      <alignment horizontal="center" vertical="center"/>
    </xf>
    <xf numFmtId="0" fontId="4" fillId="2" borderId="0" xfId="1" applyFont="1" applyFill="1" applyAlignment="1">
      <alignment horizontal="center" vertical="center"/>
    </xf>
    <xf numFmtId="164" fontId="4" fillId="7" borderId="51" xfId="2" applyNumberFormat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>
      <alignment horizontal="left"/>
    </xf>
    <xf numFmtId="0" fontId="6" fillId="2" borderId="0" xfId="1" applyFont="1" applyFill="1"/>
    <xf numFmtId="0" fontId="6" fillId="2" borderId="0" xfId="1" applyFont="1" applyFill="1" applyAlignment="1">
      <alignment horizontal="center" vertical="center"/>
    </xf>
    <xf numFmtId="0" fontId="4" fillId="8" borderId="16" xfId="1" applyFont="1" applyFill="1" applyBorder="1" applyAlignment="1">
      <alignment horizontal="center" vertical="center"/>
    </xf>
    <xf numFmtId="0" fontId="11" fillId="10" borderId="0" xfId="1" applyFont="1" applyFill="1" applyAlignment="1">
      <alignment horizontal="center" vertical="center"/>
    </xf>
    <xf numFmtId="44" fontId="11" fillId="10" borderId="0" xfId="1" applyNumberFormat="1" applyFont="1" applyFill="1"/>
    <xf numFmtId="0" fontId="5" fillId="2" borderId="0" xfId="1" applyFont="1" applyFill="1"/>
    <xf numFmtId="44" fontId="5" fillId="2" borderId="0" xfId="1" applyNumberFormat="1" applyFont="1" applyFill="1"/>
    <xf numFmtId="0" fontId="12" fillId="9" borderId="0" xfId="1" applyFont="1" applyFill="1" applyAlignment="1">
      <alignment horizontal="center" vertical="center"/>
    </xf>
    <xf numFmtId="164" fontId="5" fillId="0" borderId="0" xfId="1" applyNumberFormat="1" applyFont="1"/>
    <xf numFmtId="0" fontId="5" fillId="0" borderId="0" xfId="1" applyFont="1"/>
    <xf numFmtId="0" fontId="4" fillId="2" borderId="24" xfId="1" applyFont="1" applyFill="1" applyBorder="1" applyAlignment="1">
      <alignment horizontal="left" wrapText="1"/>
    </xf>
    <xf numFmtId="0" fontId="13" fillId="2" borderId="25" xfId="1" applyFont="1" applyFill="1" applyBorder="1" applyAlignment="1">
      <alignment horizontal="left"/>
    </xf>
    <xf numFmtId="0" fontId="6" fillId="2" borderId="25" xfId="1" applyFont="1" applyFill="1" applyBorder="1"/>
    <xf numFmtId="0" fontId="6" fillId="2" borderId="26" xfId="1" applyFont="1" applyFill="1" applyBorder="1" applyAlignment="1">
      <alignment horizontal="center" vertical="center"/>
    </xf>
    <xf numFmtId="44" fontId="4" fillId="2" borderId="25" xfId="2" applyFont="1" applyFill="1" applyBorder="1" applyProtection="1"/>
    <xf numFmtId="0" fontId="6" fillId="2" borderId="25" xfId="1" applyFont="1" applyFill="1" applyBorder="1" applyAlignment="1">
      <alignment horizontal="center"/>
    </xf>
    <xf numFmtId="0" fontId="4" fillId="2" borderId="4" xfId="1" applyFont="1" applyFill="1" applyBorder="1"/>
    <xf numFmtId="0" fontId="4" fillId="6" borderId="23" xfId="1" applyFont="1" applyFill="1" applyBorder="1" applyAlignment="1">
      <alignment horizontal="right"/>
    </xf>
    <xf numFmtId="0" fontId="4" fillId="6" borderId="0" xfId="1" applyFont="1" applyFill="1" applyAlignment="1">
      <alignment horizontal="right"/>
    </xf>
    <xf numFmtId="164" fontId="14" fillId="7" borderId="38" xfId="2" applyNumberFormat="1" applyFont="1" applyFill="1" applyBorder="1" applyAlignment="1" applyProtection="1">
      <alignment horizontal="center" vertical="center"/>
    </xf>
    <xf numFmtId="164" fontId="14" fillId="2" borderId="0" xfId="2" applyNumberFormat="1" applyFont="1" applyFill="1" applyBorder="1" applyAlignment="1" applyProtection="1">
      <alignment horizontal="center" vertical="center"/>
    </xf>
    <xf numFmtId="0" fontId="6" fillId="2" borderId="6" xfId="1" applyFont="1" applyFill="1" applyBorder="1" applyAlignment="1">
      <alignment horizontal="center"/>
    </xf>
    <xf numFmtId="44" fontId="4" fillId="2" borderId="0" xfId="2" applyFont="1" applyFill="1" applyBorder="1" applyAlignment="1" applyProtection="1">
      <alignment horizontal="center"/>
    </xf>
    <xf numFmtId="0" fontId="5" fillId="2" borderId="20" xfId="1" applyFont="1" applyFill="1" applyBorder="1"/>
    <xf numFmtId="0" fontId="7" fillId="11" borderId="27" xfId="1" applyFont="1" applyFill="1" applyBorder="1" applyAlignment="1">
      <alignment vertical="center"/>
    </xf>
    <xf numFmtId="164" fontId="7" fillId="11" borderId="21" xfId="1" applyNumberFormat="1" applyFont="1" applyFill="1" applyBorder="1"/>
    <xf numFmtId="0" fontId="7" fillId="11" borderId="28" xfId="1" applyFont="1" applyFill="1" applyBorder="1" applyAlignment="1">
      <alignment vertical="center"/>
    </xf>
    <xf numFmtId="164" fontId="7" fillId="11" borderId="5" xfId="1" applyNumberFormat="1" applyFont="1" applyFill="1" applyBorder="1"/>
    <xf numFmtId="0" fontId="5" fillId="11" borderId="27" xfId="1" applyFont="1" applyFill="1" applyBorder="1"/>
    <xf numFmtId="0" fontId="5" fillId="2" borderId="28" xfId="1" applyFont="1" applyFill="1" applyBorder="1"/>
  </cellXfs>
  <cellStyles count="3">
    <cellStyle name="Standaard" xfId="0" builtinId="0"/>
    <cellStyle name="Standaard 2" xfId="1" xr:uid="{ECA5046D-9AEB-4312-BEE6-792B02421503}"/>
    <cellStyle name="Valuta 2" xfId="2" xr:uid="{540E8C7C-B00B-4BCF-BF9D-E804807BCA09}"/>
  </cellStyles>
  <dxfs count="15">
    <dxf>
      <fill>
        <patternFill patternType="lightGrid">
          <fgColor rgb="FF262626"/>
          <bgColor rgb="FFFFC000"/>
        </patternFill>
      </fill>
      <border>
        <bottom/>
        <vertical/>
        <horizontal/>
      </border>
    </dxf>
    <dxf>
      <fill>
        <patternFill patternType="lightGrid">
          <fgColor rgb="FF262626"/>
          <bgColor rgb="FFFFC000"/>
        </patternFill>
      </fill>
      <border>
        <bottom/>
        <vertical/>
        <horizontal/>
      </border>
    </dxf>
    <dxf>
      <font>
        <color rgb="FFFFFFFF"/>
      </font>
      <numFmt numFmtId="30" formatCode="@"/>
      <border>
        <left/>
        <right/>
        <top/>
        <bottom/>
      </border>
    </dxf>
    <dxf>
      <font>
        <color rgb="FFF2CEEF"/>
      </font>
      <fill>
        <patternFill>
          <bgColor rgb="FFC00000"/>
        </patternFill>
      </fill>
    </dxf>
    <dxf>
      <font>
        <color rgb="FFC1F0C8"/>
      </font>
      <fill>
        <patternFill>
          <bgColor rgb="FF275317"/>
        </patternFill>
      </fill>
    </dxf>
    <dxf>
      <fill>
        <patternFill patternType="lightGrid">
          <fgColor rgb="FF262626"/>
          <bgColor rgb="FFFFC000"/>
        </patternFill>
      </fill>
      <border>
        <bottom/>
        <vertical/>
        <horizontal/>
      </border>
    </dxf>
    <dxf>
      <fill>
        <patternFill patternType="lightGrid">
          <fgColor rgb="FF262626"/>
          <bgColor rgb="FFFFC000"/>
        </patternFill>
      </fill>
      <border>
        <bottom/>
        <vertical/>
        <horizontal/>
      </border>
    </dxf>
    <dxf>
      <font>
        <color rgb="FFFFFFFF"/>
      </font>
      <numFmt numFmtId="30" formatCode="@"/>
      <border>
        <left/>
        <right/>
        <top/>
        <bottom/>
      </border>
    </dxf>
    <dxf>
      <font>
        <color rgb="FFF2CEEF"/>
      </font>
      <fill>
        <patternFill>
          <bgColor rgb="FFC00000"/>
        </patternFill>
      </fill>
    </dxf>
    <dxf>
      <font>
        <color rgb="FFC1F0C8"/>
      </font>
      <fill>
        <patternFill>
          <bgColor rgb="FF275317"/>
        </patternFill>
      </fill>
    </dxf>
    <dxf>
      <fill>
        <patternFill patternType="lightGrid">
          <fgColor theme="1" tint="0.14996795556505021"/>
          <bgColor rgb="FFFFC000"/>
        </patternFill>
      </fill>
      <border>
        <bottom/>
        <vertical/>
        <horizontal/>
      </border>
    </dxf>
    <dxf>
      <fill>
        <patternFill patternType="lightGrid">
          <fgColor theme="1" tint="0.14996795556505021"/>
          <bgColor rgb="FFFFC000"/>
        </patternFill>
      </fill>
      <border>
        <bottom/>
        <vertical/>
        <horizontal/>
      </border>
    </dxf>
    <dxf>
      <font>
        <color theme="0"/>
      </font>
      <numFmt numFmtId="30" formatCode="@"/>
      <border>
        <left/>
        <right/>
        <top/>
        <bottom/>
      </border>
    </dxf>
    <dxf>
      <font>
        <color theme="8" tint="0.79998168889431442"/>
      </font>
      <fill>
        <patternFill>
          <bgColor rgb="FFC00000"/>
        </patternFill>
      </fill>
    </dxf>
    <dxf>
      <font>
        <color theme="6" tint="0.79998168889431442"/>
      </font>
      <fill>
        <patternFill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connectie-my.sharepoint.com/personal/manasse_visser_arnhem_nl/Documents/Documenten/TEST%20begroting.xlsm" TargetMode="External"/><Relationship Id="rId1" Type="http://schemas.openxmlformats.org/officeDocument/2006/relationships/externalLinkPath" Target="/personal/manasse_visser_arnhem_nl/Documents/Documenten/TEST%20begrot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"/>
      <sheetName val="Vast"/>
      <sheetName val="Invoer"/>
      <sheetName val="rekentool"/>
      <sheetName val="Database"/>
      <sheetName val="December"/>
      <sheetName val="November"/>
      <sheetName val="Oktober"/>
      <sheetName val="September"/>
      <sheetName val="Augustus"/>
      <sheetName val="Juli"/>
      <sheetName val="Juni"/>
      <sheetName val="Mei"/>
      <sheetName val="April"/>
      <sheetName val="Maart"/>
      <sheetName val="Februari"/>
      <sheetName val="Maand"/>
    </sheetNames>
    <sheetDataSet>
      <sheetData sheetId="0"/>
      <sheetData sheetId="1">
        <row r="82">
          <cell r="E82">
            <v>683.94043478260846</v>
          </cell>
        </row>
      </sheetData>
      <sheetData sheetId="2"/>
      <sheetData sheetId="3">
        <row r="2">
          <cell r="A2" t="str">
            <v>maand</v>
          </cell>
        </row>
        <row r="3">
          <cell r="A3" t="str">
            <v>jaar</v>
          </cell>
          <cell r="N3" t="b">
            <v>1</v>
          </cell>
          <cell r="O3" t="b">
            <v>1</v>
          </cell>
          <cell r="P3" t="b">
            <v>0</v>
          </cell>
        </row>
        <row r="4">
          <cell r="A4" t="str">
            <v>4 weken</v>
          </cell>
          <cell r="B4">
            <v>385</v>
          </cell>
          <cell r="N4">
            <v>4</v>
          </cell>
        </row>
        <row r="5">
          <cell r="A5" t="str">
            <v>kwartaal</v>
          </cell>
        </row>
        <row r="6">
          <cell r="N6" t="str">
            <v>In een jaar kun je € 2.051,82 sparen</v>
          </cell>
        </row>
        <row r="11">
          <cell r="K11">
            <v>494.88</v>
          </cell>
        </row>
        <row r="22">
          <cell r="F22">
            <v>1250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BC74-05A8-40BB-98B6-3CA02A67C58A}">
  <dimension ref="A1:G90"/>
  <sheetViews>
    <sheetView tabSelected="1" workbookViewId="0">
      <selection activeCell="J4" sqref="J4"/>
    </sheetView>
  </sheetViews>
  <sheetFormatPr defaultRowHeight="13"/>
  <sheetData>
    <row r="1" spans="1:7" ht="13.5" thickBot="1">
      <c r="A1" s="1" t="s">
        <v>0</v>
      </c>
      <c r="B1" s="2"/>
      <c r="C1" s="2"/>
      <c r="D1" s="2"/>
      <c r="E1" s="2"/>
      <c r="F1" s="2"/>
      <c r="G1" s="3"/>
    </row>
    <row r="2" spans="1:7" ht="13.5" thickBot="1">
      <c r="A2" s="4" t="s">
        <v>1</v>
      </c>
      <c r="B2" s="5" t="s">
        <v>2</v>
      </c>
      <c r="C2" s="6" t="s">
        <v>3</v>
      </c>
      <c r="D2" s="7"/>
      <c r="E2" s="8" t="s">
        <v>4</v>
      </c>
      <c r="F2" s="9"/>
      <c r="G2" s="10"/>
    </row>
    <row r="3" spans="1:7" ht="20">
      <c r="A3" s="11"/>
      <c r="B3" s="12" t="s">
        <v>5</v>
      </c>
      <c r="C3" s="13">
        <v>1</v>
      </c>
      <c r="D3" s="14"/>
      <c r="E3" s="15" t="s">
        <v>6</v>
      </c>
      <c r="F3" s="16"/>
      <c r="G3" s="10"/>
    </row>
    <row r="4" spans="1:7" ht="30">
      <c r="A4" s="11"/>
      <c r="B4" s="17" t="s">
        <v>7</v>
      </c>
      <c r="C4" s="18"/>
      <c r="D4" s="19"/>
      <c r="E4" s="20" t="s">
        <v>8</v>
      </c>
      <c r="F4" s="21"/>
      <c r="G4" s="10"/>
    </row>
    <row r="5" spans="1:7" ht="30">
      <c r="A5" s="11"/>
      <c r="B5" s="17" t="s">
        <v>9</v>
      </c>
      <c r="C5" s="18"/>
      <c r="D5" s="19"/>
      <c r="E5" s="20" t="s">
        <v>10</v>
      </c>
      <c r="F5" s="21"/>
      <c r="G5" s="10"/>
    </row>
    <row r="6" spans="1:7" ht="30">
      <c r="A6" s="11"/>
      <c r="B6" s="17" t="s">
        <v>11</v>
      </c>
      <c r="C6" s="18"/>
      <c r="D6" s="19"/>
      <c r="E6" s="20" t="s">
        <v>12</v>
      </c>
      <c r="F6" s="21"/>
      <c r="G6" s="10"/>
    </row>
    <row r="7" spans="1:7" ht="30">
      <c r="A7" s="11"/>
      <c r="B7" s="17" t="s">
        <v>13</v>
      </c>
      <c r="C7" s="18"/>
      <c r="D7" s="19"/>
      <c r="E7" s="20" t="s">
        <v>14</v>
      </c>
      <c r="F7" s="21"/>
      <c r="G7" s="10"/>
    </row>
    <row r="8" spans="1:7" ht="20">
      <c r="A8" s="11"/>
      <c r="B8" s="17" t="s">
        <v>15</v>
      </c>
      <c r="C8" s="18"/>
      <c r="D8" s="19">
        <v>1</v>
      </c>
      <c r="E8" s="20" t="s">
        <v>16</v>
      </c>
      <c r="F8" s="21"/>
      <c r="G8" s="10"/>
    </row>
    <row r="9" spans="1:7" ht="30">
      <c r="A9" s="11"/>
      <c r="B9" s="17" t="s">
        <v>17</v>
      </c>
      <c r="C9" s="18"/>
      <c r="D9" s="19"/>
      <c r="E9" s="20" t="s">
        <v>18</v>
      </c>
      <c r="F9" s="21"/>
      <c r="G9" s="10"/>
    </row>
    <row r="10" spans="1:7" ht="30.5" thickBot="1">
      <c r="A10" s="22" t="s">
        <v>19</v>
      </c>
      <c r="B10" s="23" t="s">
        <v>20</v>
      </c>
      <c r="C10" s="24"/>
      <c r="D10" s="25"/>
      <c r="E10" s="26" t="s">
        <v>21</v>
      </c>
      <c r="F10" s="27"/>
      <c r="G10" s="10"/>
    </row>
    <row r="11" spans="1:7">
      <c r="A11" s="28" t="s">
        <v>22</v>
      </c>
      <c r="B11" s="29"/>
      <c r="C11" s="28"/>
      <c r="D11" s="28"/>
      <c r="E11" s="30"/>
      <c r="F11" s="31"/>
      <c r="G11" s="10"/>
    </row>
    <row r="12" spans="1:7" ht="33.5" thickBot="1">
      <c r="A12" s="32" t="s">
        <v>23</v>
      </c>
      <c r="B12" s="32"/>
      <c r="C12" s="33" t="s">
        <v>24</v>
      </c>
      <c r="D12" s="22" t="s">
        <v>25</v>
      </c>
      <c r="E12" s="34"/>
      <c r="F12" s="35" t="s">
        <v>26</v>
      </c>
      <c r="G12" s="35" t="s">
        <v>27</v>
      </c>
    </row>
    <row r="13" spans="1:7" ht="14" thickTop="1" thickBot="1">
      <c r="A13" s="36" t="s">
        <v>28</v>
      </c>
      <c r="B13" s="36"/>
      <c r="C13" s="37">
        <v>3214.49</v>
      </c>
      <c r="D13" s="38" t="s">
        <v>29</v>
      </c>
      <c r="E13" s="34" cm="1">
        <f t="array" ref="E13">_xlfn.IFS(D13=[1]rekentool!$A$2,C13,D13=[1]rekentool!$A$3,C13/12,D13=[1]rekentool!$A$4,C13*1.08333333,D13=[1]rekentool!$A$5,C13/3)</f>
        <v>3214.49</v>
      </c>
      <c r="F13" s="39"/>
      <c r="G13" s="40"/>
    </row>
    <row r="14" spans="1:7" ht="13.5" thickTop="1">
      <c r="A14" s="41" t="s">
        <v>30</v>
      </c>
      <c r="B14" s="41"/>
      <c r="C14" s="42">
        <f>C13/92*8*6</f>
        <v>1677.1252173913042</v>
      </c>
      <c r="D14" s="43" t="s">
        <v>31</v>
      </c>
      <c r="E14" s="34">
        <f>C14/12</f>
        <v>139.76043478260868</v>
      </c>
      <c r="F14" s="44"/>
      <c r="G14" s="45"/>
    </row>
    <row r="15" spans="1:7" ht="13.5" thickBot="1">
      <c r="A15" s="41" t="s">
        <v>32</v>
      </c>
      <c r="B15" s="41"/>
      <c r="C15" s="42">
        <v>832.82</v>
      </c>
      <c r="D15" s="46" t="s">
        <v>33</v>
      </c>
      <c r="E15" s="34">
        <f>C15/3</f>
        <v>277.60666666666668</v>
      </c>
      <c r="F15" s="44"/>
      <c r="G15" s="45"/>
    </row>
    <row r="16" spans="1:7" ht="14" thickTop="1" thickBot="1">
      <c r="A16" s="41" t="s">
        <v>34</v>
      </c>
      <c r="B16" s="41"/>
      <c r="C16" s="47"/>
      <c r="D16" s="38" t="s">
        <v>35</v>
      </c>
      <c r="E16" s="34" cm="1">
        <f t="array" ref="E16">_xlfn.IFS(D16=[1]rekentool!$A$2,C16,D16=[1]rekentool!$A$3,C16/12,D16=[1]rekentool!$A$4,C16*1.0833333,D16=[1]rekentool!$A$5,C16/3)</f>
        <v>0</v>
      </c>
      <c r="F16" s="48"/>
      <c r="G16" s="45"/>
    </row>
    <row r="17" spans="1:7" ht="13.5" thickTop="1">
      <c r="A17" s="41" t="s">
        <v>36</v>
      </c>
      <c r="B17" s="41"/>
      <c r="C17" s="42"/>
      <c r="D17" s="43" t="s">
        <v>31</v>
      </c>
      <c r="E17" s="34" cm="1">
        <f t="array" ref="E17">_xlfn.IFS(D17=[1]rekentool!$A$2,C17,D17=[1]rekentool!$A$3,C17/12,D17=[1]rekentool!$A$4,C17*1.0833333,D17=[1]rekentool!$A$5,C17/3)</f>
        <v>0</v>
      </c>
      <c r="F17" s="48"/>
      <c r="G17" s="45"/>
    </row>
    <row r="18" spans="1:7">
      <c r="A18" s="41" t="s">
        <v>37</v>
      </c>
      <c r="B18" s="41"/>
      <c r="C18" s="49"/>
      <c r="D18" s="50" t="s">
        <v>29</v>
      </c>
      <c r="E18" s="34" cm="1">
        <f t="array" ref="E18">_xlfn.IFS(D18=[1]rekentool!$A$2,C18,D18=[1]rekentool!$A$3,C18/12,D18=[1]rekentool!$A$4,C18*1.0833333,D18=[1]rekentool!$A$5,C18/3)</f>
        <v>0</v>
      </c>
      <c r="F18" s="48"/>
      <c r="G18" s="45"/>
    </row>
    <row r="19" spans="1:7">
      <c r="A19" s="41" t="s">
        <v>38</v>
      </c>
      <c r="B19" s="41"/>
      <c r="C19" s="49"/>
      <c r="D19" s="50" t="s">
        <v>29</v>
      </c>
      <c r="E19" s="34" cm="1">
        <f t="array" ref="E19">_xlfn.IFS(D19=[1]rekentool!$A$2,C19,D19=[1]rekentool!$A$3,C19/12,D19=[1]rekentool!$A$4,C19*1.0833333,D19=[1]rekentool!$A$5,C19/3)</f>
        <v>0</v>
      </c>
      <c r="F19" s="48"/>
      <c r="G19" s="45"/>
    </row>
    <row r="20" spans="1:7">
      <c r="A20" s="41" t="s">
        <v>39</v>
      </c>
      <c r="B20" s="41"/>
      <c r="C20" s="51"/>
      <c r="D20" s="50" t="s">
        <v>29</v>
      </c>
      <c r="E20" s="34" cm="1">
        <f t="array" ref="E20">_xlfn.IFS(D20=[1]rekentool!$A$2,C20,D20=[1]rekentool!$A$3,C20/12,D20=[1]rekentool!$A$4,C20*1.0833333,D20=[1]rekentool!$A$5,C20/3)</f>
        <v>0</v>
      </c>
      <c r="F20" s="48"/>
      <c r="G20" s="45"/>
    </row>
    <row r="21" spans="1:7">
      <c r="A21" s="41" t="s">
        <v>40</v>
      </c>
      <c r="B21" s="41"/>
      <c r="C21" s="49">
        <v>628</v>
      </c>
      <c r="D21" s="50" t="s">
        <v>29</v>
      </c>
      <c r="E21" s="34" cm="1">
        <f t="array" ref="E21">_xlfn.IFS(D21=[1]rekentool!$A$2,C21,D21=[1]rekentool!$A$3,C21/12,D21=[1]rekentool!$A$4,C21*1.0833333,D21=[1]rekentool!$A$5,C21/3)</f>
        <v>628</v>
      </c>
      <c r="F21" s="48"/>
      <c r="G21" s="45"/>
    </row>
    <row r="22" spans="1:7">
      <c r="A22" s="52" t="s">
        <v>41</v>
      </c>
      <c r="B22" s="52"/>
      <c r="C22" s="49"/>
      <c r="D22" s="50" t="s">
        <v>29</v>
      </c>
      <c r="E22" s="34" cm="1">
        <f t="array" ref="E22">_xlfn.IFS(D22=[1]rekentool!$A$2,C22,D22=[1]rekentool!$A$3,C22/12,D22=[1]rekentool!$A$4,C22*1.0833333,D22=[1]rekentool!$A$5,C22/3)</f>
        <v>0</v>
      </c>
      <c r="F22" s="48"/>
      <c r="G22" s="45"/>
    </row>
    <row r="23" spans="1:7" ht="13.5" thickBot="1">
      <c r="A23" s="52" t="s">
        <v>42</v>
      </c>
      <c r="B23" s="52"/>
      <c r="C23" s="53"/>
      <c r="D23" s="46" t="s">
        <v>29</v>
      </c>
      <c r="E23" s="34" cm="1">
        <f t="array" ref="E23">_xlfn.IFS(D23=[1]rekentool!$A$2,C23,D23=[1]rekentool!$A$3,C23/12,D23=[1]rekentool!$A$4,C23*1.0833333,D23=[1]rekentool!$A$5,C23/3)</f>
        <v>0</v>
      </c>
      <c r="F23" s="54"/>
      <c r="G23" s="55"/>
    </row>
    <row r="24" spans="1:7" ht="13.5" thickBot="1">
      <c r="A24" s="56"/>
      <c r="B24" s="57"/>
      <c r="C24" s="58" t="s">
        <v>43</v>
      </c>
      <c r="D24" s="59"/>
      <c r="E24" s="60">
        <f>SUM(E13:E23)</f>
        <v>4259.8571014492754</v>
      </c>
      <c r="F24" s="10"/>
      <c r="G24" s="10"/>
    </row>
    <row r="25" spans="1:7">
      <c r="A25" s="61" t="s">
        <v>44</v>
      </c>
      <c r="B25" s="62" t="s">
        <v>45</v>
      </c>
      <c r="C25" s="63"/>
      <c r="D25" s="64"/>
      <c r="E25" s="63"/>
      <c r="F25" s="62" t="s">
        <v>46</v>
      </c>
      <c r="G25" s="62" t="s">
        <v>47</v>
      </c>
    </row>
    <row r="26" spans="1:7">
      <c r="A26" s="63"/>
      <c r="B26" s="65" t="s">
        <v>48</v>
      </c>
      <c r="C26" s="66" t="s">
        <v>24</v>
      </c>
      <c r="D26" s="67" t="s">
        <v>49</v>
      </c>
      <c r="E26" s="10"/>
      <c r="F26" s="10"/>
      <c r="G26" s="68"/>
    </row>
    <row r="27" spans="1:7">
      <c r="A27" s="52" t="s">
        <v>50</v>
      </c>
      <c r="B27" s="52"/>
      <c r="C27" s="69">
        <v>794.78</v>
      </c>
      <c r="D27" s="43" t="s">
        <v>29</v>
      </c>
      <c r="E27" s="34" cm="1">
        <f t="array" ref="E27">_xlfn.IFS(D27=[1]rekentool!$A$2,C27,D27=[1]rekentool!$A$3,C27/12,D27=[1]rekentool!$A$4,C27*1.0833333,D27=[1]rekentool!$A$5,C27/3)</f>
        <v>794.78</v>
      </c>
      <c r="F27" s="70"/>
      <c r="G27" s="71"/>
    </row>
    <row r="28" spans="1:7">
      <c r="A28" s="52" t="s">
        <v>51</v>
      </c>
      <c r="B28" s="52"/>
      <c r="C28" s="42"/>
      <c r="D28" s="50" t="s">
        <v>29</v>
      </c>
      <c r="E28" s="34" cm="1">
        <f t="array" ref="E28">_xlfn.IFS(D28=[1]rekentool!$A$2,C28,D28=[1]rekentool!$A$3,C28/12,D28=[1]rekentool!$A$4,C28*1.0833333,D28=[1]rekentool!$A$5,C28/3)</f>
        <v>0</v>
      </c>
      <c r="F28" s="72"/>
      <c r="G28" s="71"/>
    </row>
    <row r="29" spans="1:7">
      <c r="A29" s="52" t="s">
        <v>52</v>
      </c>
      <c r="B29" s="52"/>
      <c r="C29" s="42"/>
      <c r="D29" s="50" t="s">
        <v>29</v>
      </c>
      <c r="E29" s="34" cm="1">
        <f t="array" ref="E29">_xlfn.IFS(D29=[1]rekentool!$A$2,C29,D29=[1]rekentool!$A$3,C29/12,D29=[1]rekentool!$A$4,C29*1.0833333,D29=[1]rekentool!$A$5,C29/3)</f>
        <v>0</v>
      </c>
      <c r="F29" s="72"/>
      <c r="G29" s="71"/>
    </row>
    <row r="30" spans="1:7">
      <c r="A30" s="52" t="s">
        <v>53</v>
      </c>
      <c r="B30" s="52"/>
      <c r="C30" s="42"/>
      <c r="D30" s="43" t="s">
        <v>29</v>
      </c>
      <c r="E30" s="34" cm="1">
        <f t="array" ref="E30">_xlfn.IFS(D30=[1]rekentool!$A$2,C30,D30=[1]rekentool!$A$3,C30/12,D30=[1]rekentool!$A$4,C30*1.0833333,D30=[1]rekentool!$A$5,C30/3)</f>
        <v>0</v>
      </c>
      <c r="F30" s="72"/>
      <c r="G30" s="71"/>
    </row>
    <row r="31" spans="1:7">
      <c r="A31" s="52" t="s">
        <v>54</v>
      </c>
      <c r="B31" s="52"/>
      <c r="C31" s="42"/>
      <c r="D31" s="50" t="s">
        <v>29</v>
      </c>
      <c r="E31" s="34" cm="1">
        <f t="array" ref="E31">_xlfn.IFS(D31=[1]rekentool!$A$2,C31,D31=[1]rekentool!$A$3,C31/12,D31=[1]rekentool!$A$4,C31*1.0833333,D31=[1]rekentool!$A$5,C31/3)</f>
        <v>0</v>
      </c>
      <c r="F31" s="72"/>
      <c r="G31" s="71"/>
    </row>
    <row r="32" spans="1:7">
      <c r="A32" s="52" t="s">
        <v>55</v>
      </c>
      <c r="B32" s="52"/>
      <c r="C32" s="42"/>
      <c r="D32" s="50" t="s">
        <v>29</v>
      </c>
      <c r="E32" s="34" cm="1">
        <f t="array" ref="E32">_xlfn.IFS(D32=[1]rekentool!$A$2,C32,D32=[1]rekentool!$A$3,C32/12,D32=[1]rekentool!$A$4,C32*1.0833333,D32=[1]rekentool!$A$5,C32/3)</f>
        <v>0</v>
      </c>
      <c r="F32" s="72"/>
      <c r="G32" s="71"/>
    </row>
    <row r="33" spans="1:7">
      <c r="A33" s="52" t="s">
        <v>56</v>
      </c>
      <c r="B33" s="52"/>
      <c r="C33" s="42">
        <f>36+136</f>
        <v>172</v>
      </c>
      <c r="D33" s="43" t="s">
        <v>29</v>
      </c>
      <c r="E33" s="34" cm="1">
        <f t="array" ref="E33">_xlfn.IFS(D33=[1]rekentool!$A$2,C33,D33=[1]rekentool!$A$3,C33/12,D33=[1]rekentool!$A$4,C33*1.0833333,D33=[1]rekentool!$A$5,C33/3)</f>
        <v>172</v>
      </c>
      <c r="F33" s="72"/>
      <c r="G33" s="71"/>
    </row>
    <row r="34" spans="1:7">
      <c r="A34" s="52" t="s">
        <v>57</v>
      </c>
      <c r="B34" s="52"/>
      <c r="C34" s="42"/>
      <c r="D34" s="50" t="s">
        <v>29</v>
      </c>
      <c r="E34" s="34" cm="1">
        <f t="array" ref="E34">_xlfn.IFS(D34=[1]rekentool!$A$2,C34,D34=[1]rekentool!$A$3,C34/12,D34=[1]rekentool!$A$4,C34*1.0833333,D34=[1]rekentool!$A$5,C34/3)</f>
        <v>0</v>
      </c>
      <c r="F34" s="72"/>
      <c r="G34" s="71"/>
    </row>
    <row r="35" spans="1:7">
      <c r="A35" s="52" t="s">
        <v>58</v>
      </c>
      <c r="B35" s="52"/>
      <c r="C35" s="49"/>
      <c r="D35" s="50" t="s">
        <v>29</v>
      </c>
      <c r="E35" s="34" cm="1">
        <f t="array" ref="E35">_xlfn.IFS(D35=[1]rekentool!$A$2,C35,D35=[1]rekentool!$A$3,C35/12,D35=[1]rekentool!$A$4,C35*1.0833333,D35=[1]rekentool!$A$5,C35/3)</f>
        <v>0</v>
      </c>
      <c r="F35" s="72"/>
      <c r="G35" s="71"/>
    </row>
    <row r="36" spans="1:7">
      <c r="A36" s="52" t="s">
        <v>59</v>
      </c>
      <c r="B36" s="52"/>
      <c r="C36" s="49">
        <v>15</v>
      </c>
      <c r="D36" s="43" t="s">
        <v>29</v>
      </c>
      <c r="E36" s="34" cm="1">
        <f t="array" ref="E36">_xlfn.IFS(D36=[1]rekentool!$A$2,C36,D36=[1]rekentool!$A$3,C36/12,D36=[1]rekentool!$A$4,C36*1.0833333,D36=[1]rekentool!$A$5,C36/3)</f>
        <v>15</v>
      </c>
      <c r="F36" s="72"/>
      <c r="G36" s="71"/>
    </row>
    <row r="37" spans="1:7">
      <c r="A37" s="52" t="s">
        <v>60</v>
      </c>
      <c r="B37" s="52"/>
      <c r="C37" s="51"/>
      <c r="D37" s="50" t="s">
        <v>29</v>
      </c>
      <c r="E37" s="34" cm="1">
        <f t="array" ref="E37">_xlfn.IFS(D37=[1]rekentool!$A$2,C37,D37=[1]rekentool!$A$3,C37/12,D37=[1]rekentool!$A$4,C37*1.0833333,D37=[1]rekentool!$A$5,C37/3)</f>
        <v>0</v>
      </c>
      <c r="F37" s="72"/>
      <c r="G37" s="71"/>
    </row>
    <row r="38" spans="1:7">
      <c r="A38" s="52" t="s">
        <v>61</v>
      </c>
      <c r="B38" s="52"/>
      <c r="C38" s="49"/>
      <c r="D38" s="50" t="s">
        <v>31</v>
      </c>
      <c r="E38" s="34">
        <f>C38/12</f>
        <v>0</v>
      </c>
      <c r="F38" s="72"/>
      <c r="G38" s="71"/>
    </row>
    <row r="39" spans="1:7">
      <c r="A39" s="52" t="s">
        <v>62</v>
      </c>
      <c r="B39" s="52"/>
      <c r="C39" s="53">
        <f>81.54*12</f>
        <v>978.48</v>
      </c>
      <c r="D39" s="43" t="s">
        <v>31</v>
      </c>
      <c r="E39" s="34">
        <f>C39/12</f>
        <v>81.540000000000006</v>
      </c>
      <c r="F39" s="73"/>
      <c r="G39" s="71"/>
    </row>
    <row r="40" spans="1:7">
      <c r="A40" s="63"/>
      <c r="B40" s="65" t="s">
        <v>63</v>
      </c>
      <c r="C40" s="66" t="s">
        <v>24</v>
      </c>
      <c r="D40" s="74" t="s">
        <v>49</v>
      </c>
      <c r="E40" s="10"/>
      <c r="F40" s="71"/>
      <c r="G40" s="10"/>
    </row>
    <row r="41" spans="1:7">
      <c r="A41" s="52" t="s">
        <v>64</v>
      </c>
      <c r="B41" s="52"/>
      <c r="C41" s="75">
        <v>221.95</v>
      </c>
      <c r="D41" s="50" t="s">
        <v>29</v>
      </c>
      <c r="E41" s="34" cm="1">
        <f t="array" ref="E41">_xlfn.IFS(D41=[1]rekentool!$A$2,C41,D41=[1]rekentool!$A$3,C41/12,D41=[1]rekentool!$A$4,C41*1.0833333,D41=[1]rekentool!$A$5,C41/3)</f>
        <v>221.95</v>
      </c>
      <c r="F41" s="70"/>
      <c r="G41" s="71"/>
    </row>
    <row r="42" spans="1:7">
      <c r="A42" s="52" t="s">
        <v>65</v>
      </c>
      <c r="B42" s="52"/>
      <c r="C42" s="76"/>
      <c r="D42" s="50" t="s">
        <v>29</v>
      </c>
      <c r="E42" s="34" cm="1">
        <f t="array" ref="E42">_xlfn.IFS(D42=[1]rekentool!$A$2,C42,D42=[1]rekentool!$A$3,C42/12,D42=[1]rekentool!$A$4,C42*1.0833333,D42=[1]rekentool!$A$5,C42/3)</f>
        <v>0</v>
      </c>
      <c r="F42" s="72"/>
      <c r="G42" s="71"/>
    </row>
    <row r="43" spans="1:7">
      <c r="A43" s="52" t="s">
        <v>66</v>
      </c>
      <c r="B43" s="77"/>
      <c r="C43" s="34">
        <f>[1]rekentool!B4</f>
        <v>385</v>
      </c>
      <c r="D43" s="50" t="s">
        <v>31</v>
      </c>
      <c r="E43" s="78">
        <f>C43/12</f>
        <v>32.083333333333336</v>
      </c>
      <c r="F43" s="72"/>
      <c r="G43" s="71"/>
    </row>
    <row r="44" spans="1:7">
      <c r="A44" s="52" t="s">
        <v>67</v>
      </c>
      <c r="B44" s="52"/>
      <c r="C44" s="75"/>
      <c r="D44" s="50" t="s">
        <v>29</v>
      </c>
      <c r="E44" s="34" cm="1">
        <f t="array" ref="E44">_xlfn.IFS(D44=[1]rekentool!$A$2,C44,D44=[1]rekentool!$A$3,C44/12,D44=[1]rekentool!$A$4,C44*1.0833333,D44=[1]rekentool!$A$5,C44/3)</f>
        <v>0</v>
      </c>
      <c r="F44" s="72"/>
      <c r="G44" s="71"/>
    </row>
    <row r="45" spans="1:7">
      <c r="A45" s="52" t="s">
        <v>68</v>
      </c>
      <c r="B45" s="52"/>
      <c r="C45" s="42">
        <v>6.18</v>
      </c>
      <c r="D45" s="50" t="s">
        <v>29</v>
      </c>
      <c r="E45" s="34" cm="1">
        <f t="array" ref="E45">_xlfn.IFS(D45=[1]rekentool!$A$2,C45,D45=[1]rekentool!$A$3,C45/12,D45=[1]rekentool!$A$4,C45*1.0833333,D45=[1]rekentool!$A$5,C45/3)</f>
        <v>6.18</v>
      </c>
      <c r="F45" s="72"/>
      <c r="G45" s="71"/>
    </row>
    <row r="46" spans="1:7">
      <c r="A46" s="52" t="s">
        <v>69</v>
      </c>
      <c r="B46" s="52"/>
      <c r="C46" s="42"/>
      <c r="D46" s="50" t="s">
        <v>29</v>
      </c>
      <c r="E46" s="34" cm="1">
        <f t="array" ref="E46">_xlfn.IFS(D46=[1]rekentool!$A$2,C46,D46=[1]rekentool!$A$3,C46/12,D46=[1]rekentool!$A$4,C46*1.0833333,D46=[1]rekentool!$A$5,C46/3)</f>
        <v>0</v>
      </c>
      <c r="F46" s="72"/>
      <c r="G46" s="71"/>
    </row>
    <row r="47" spans="1:7">
      <c r="A47" s="52" t="s">
        <v>52</v>
      </c>
      <c r="B47" s="52"/>
      <c r="C47" s="42"/>
      <c r="D47" s="50" t="s">
        <v>29</v>
      </c>
      <c r="E47" s="34" cm="1">
        <f t="array" ref="E47">_xlfn.IFS(D47=[1]rekentool!$A$2,C47,D47=[1]rekentool!$A$3,C47/12,D47=[1]rekentool!$A$4,C47*1.0833333,D47=[1]rekentool!$A$5,C47/3)</f>
        <v>0</v>
      </c>
      <c r="F47" s="72"/>
      <c r="G47" s="71"/>
    </row>
    <row r="48" spans="1:7">
      <c r="A48" s="52" t="s">
        <v>70</v>
      </c>
      <c r="B48" s="52"/>
      <c r="C48" s="76">
        <v>18.04</v>
      </c>
      <c r="D48" s="50" t="s">
        <v>29</v>
      </c>
      <c r="E48" s="34" cm="1">
        <f t="array" ref="E48">_xlfn.IFS(D48=[1]rekentool!$A$2,C48,D48=[1]rekentool!$A$3,C48/12,D48=[1]rekentool!$A$4,C48*1.0833333,D48=[1]rekentool!$A$5,C48/3)</f>
        <v>18.04</v>
      </c>
      <c r="F48" s="73"/>
      <c r="G48" s="71"/>
    </row>
    <row r="49" spans="1:7">
      <c r="A49" s="63"/>
      <c r="B49" s="65" t="s">
        <v>71</v>
      </c>
      <c r="C49" s="66" t="s">
        <v>24</v>
      </c>
      <c r="D49" s="74" t="s">
        <v>49</v>
      </c>
      <c r="E49" s="10"/>
      <c r="F49" s="71"/>
      <c r="G49" s="10"/>
    </row>
    <row r="50" spans="1:7">
      <c r="A50" s="52" t="s">
        <v>72</v>
      </c>
      <c r="B50" s="52"/>
      <c r="C50" s="79"/>
      <c r="D50" s="50" t="s">
        <v>29</v>
      </c>
      <c r="E50" s="34" cm="1">
        <f t="array" ref="E50">_xlfn.IFS(D50=[1]rekentool!$A$2,C50,D50=[1]rekentool!$A$3,C50/12,D50=[1]rekentool!$A$4,C50*1.0833333,D50=[1]rekentool!$A$5,C50/3)</f>
        <v>0</v>
      </c>
      <c r="F50" s="70"/>
      <c r="G50" s="71"/>
    </row>
    <row r="51" spans="1:7">
      <c r="A51" s="52" t="s">
        <v>73</v>
      </c>
      <c r="B51" s="52"/>
      <c r="C51" s="80">
        <f>17.3+17.11+70.87</f>
        <v>105.28</v>
      </c>
      <c r="D51" s="50" t="s">
        <v>29</v>
      </c>
      <c r="E51" s="34" cm="1">
        <f t="array" ref="E51">_xlfn.IFS(D51=[1]rekentool!$A$2,C51,D51=[1]rekentool!$A$3,C51/12,D51=[1]rekentool!$A$4,C51*1.0833333,D51=[1]rekentool!$A$5,C51/3)</f>
        <v>105.28</v>
      </c>
      <c r="F51" s="72"/>
      <c r="G51" s="71"/>
    </row>
    <row r="52" spans="1:7">
      <c r="A52" s="52" t="s">
        <v>74</v>
      </c>
      <c r="B52" s="52"/>
      <c r="C52" s="80">
        <v>80.69</v>
      </c>
      <c r="D52" s="50" t="s">
        <v>29</v>
      </c>
      <c r="E52" s="34" cm="1">
        <f t="array" ref="E52">_xlfn.IFS(D52=[1]rekentool!$A$2,C52,D52=[1]rekentool!$A$3,C52/12,D52=[1]rekentool!$A$4,C52*1.0833333,D52=[1]rekentool!$A$5,C52/3)</f>
        <v>80.69</v>
      </c>
      <c r="F52" s="72"/>
      <c r="G52" s="71"/>
    </row>
    <row r="53" spans="1:7">
      <c r="A53" s="52" t="s">
        <v>75</v>
      </c>
      <c r="B53" s="52"/>
      <c r="C53" s="80">
        <f>9.99+18.99+21.99+8.99</f>
        <v>59.96</v>
      </c>
      <c r="D53" s="50" t="s">
        <v>29</v>
      </c>
      <c r="E53" s="34" cm="1">
        <f t="array" ref="E53">_xlfn.IFS(D53=[1]rekentool!$A$2,C53,D53=[1]rekentool!$A$3,C53/12,D53=[1]rekentool!$A$4,C53*1.0833333,D53=[1]rekentool!$A$5,C53/3)</f>
        <v>59.96</v>
      </c>
      <c r="F53" s="72"/>
      <c r="G53" s="71"/>
    </row>
    <row r="54" spans="1:7" ht="13.5" thickBot="1">
      <c r="A54" s="52" t="s">
        <v>76</v>
      </c>
      <c r="B54" s="52"/>
      <c r="C54" s="80">
        <v>25</v>
      </c>
      <c r="D54" s="46" t="s">
        <v>29</v>
      </c>
      <c r="E54" s="34" cm="1">
        <f t="array" ref="E54">_xlfn.IFS(D54=[1]rekentool!$A$2,C54,D54=[1]rekentool!$A$3,C54/12,D54=[1]rekentool!$A$4,C54*1.0833333,D54=[1]rekentool!$A$5,C54/3)</f>
        <v>25</v>
      </c>
      <c r="F54" s="72"/>
      <c r="G54" s="71"/>
    </row>
    <row r="55" spans="1:7" ht="14" thickTop="1" thickBot="1">
      <c r="A55" s="52" t="s">
        <v>77</v>
      </c>
      <c r="B55" s="52"/>
      <c r="C55" s="81">
        <v>50</v>
      </c>
      <c r="D55" s="38" t="s">
        <v>33</v>
      </c>
      <c r="E55" s="34" cm="1">
        <f t="array" ref="E55">_xlfn.IFS(D55=[1]rekentool!$A$2,C55,D55=[1]rekentool!$A$3,C55/12,D55=[1]rekentool!$A$4,C55*1.0833333,D55=[1]rekentool!$A$5,C55/3,D55="",C55)</f>
        <v>16.666666666666668</v>
      </c>
      <c r="F55" s="73"/>
      <c r="G55" s="71"/>
    </row>
    <row r="56" spans="1:7" ht="13.5" thickTop="1">
      <c r="A56" s="63"/>
      <c r="B56" s="65" t="s">
        <v>78</v>
      </c>
      <c r="C56" s="66" t="s">
        <v>24</v>
      </c>
      <c r="D56" s="67" t="s">
        <v>49</v>
      </c>
      <c r="E56" s="10"/>
      <c r="F56" s="34"/>
      <c r="G56" s="10"/>
    </row>
    <row r="57" spans="1:7" ht="13.5" thickBot="1">
      <c r="A57" s="82" t="s">
        <v>79</v>
      </c>
      <c r="B57" s="82" t="s">
        <v>80</v>
      </c>
      <c r="C57" s="83">
        <f>[1]rekentool!K11</f>
        <v>494.88</v>
      </c>
      <c r="D57" s="46" t="s">
        <v>29</v>
      </c>
      <c r="E57" s="34" cm="1">
        <f t="array" ref="E57">_xlfn.IFS(D57=[1]rekentool!$A$2,C57,D57=[1]rekentool!$A$3,C57/12,D57=[1]rekentool!$A$4,C57*1.0833333,D57=[1]rekentool!$A$5,C57/3,D57="",C57)</f>
        <v>494.88</v>
      </c>
      <c r="F57" s="70"/>
      <c r="G57" s="71"/>
    </row>
    <row r="58" spans="1:7" ht="14" thickTop="1" thickBot="1">
      <c r="A58" s="84" t="s">
        <v>81</v>
      </c>
      <c r="B58" s="82"/>
      <c r="C58" s="85"/>
      <c r="D58" s="38"/>
      <c r="E58" s="34" cm="1">
        <f t="array" ref="E58">_xlfn.IFS(D58=[1]rekentool!$A$2,C58,D58=[1]rekentool!$A$3,C58/12,D58=[1]rekentool!$A$4,C58*1.0833333,D58=[1]rekentool!$A$5,C58/3,D58="",C58)</f>
        <v>0</v>
      </c>
      <c r="F58" s="72"/>
      <c r="G58" s="71"/>
    </row>
    <row r="59" spans="1:7" ht="14" thickTop="1" thickBot="1">
      <c r="A59" s="52" t="s">
        <v>82</v>
      </c>
      <c r="B59" s="77"/>
      <c r="C59" s="86">
        <f>IFERROR([1]rekentool!F22,0)</f>
        <v>1250</v>
      </c>
      <c r="D59" s="87" t="s">
        <v>31</v>
      </c>
      <c r="E59" s="34" cm="1">
        <f t="array" ref="E59">_xlfn.IFS(D59=[1]rekentool!$A$2,C59,D59=[1]rekentool!$A$3,C59/12,D59=[1]rekentool!$A$4,C59*1.0833333,D59=[1]rekentool!$A$5,C59/3,D59="",C59)</f>
        <v>104.16666666666667</v>
      </c>
      <c r="F59" s="72"/>
      <c r="G59" s="71"/>
    </row>
    <row r="60" spans="1:7" ht="14" thickTop="1" thickBot="1">
      <c r="A60" s="52" t="s">
        <v>83</v>
      </c>
      <c r="B60" s="52"/>
      <c r="C60" s="37"/>
      <c r="D60" s="38"/>
      <c r="E60" s="34" cm="1">
        <f t="array" ref="E60">_xlfn.IFS(D60=[1]rekentool!$A$2,C60,D60=[1]rekentool!$A$3,C60/12,D60=[1]rekentool!$A$4,C60*1.0833333,D60=[1]rekentool!$A$5,C60/3,D60="",C60)</f>
        <v>0</v>
      </c>
      <c r="F60" s="72"/>
      <c r="G60" s="71"/>
    </row>
    <row r="61" spans="1:7" ht="14" thickTop="1" thickBot="1">
      <c r="A61" s="52" t="s">
        <v>84</v>
      </c>
      <c r="B61" s="52"/>
      <c r="C61" s="47"/>
      <c r="D61" s="38"/>
      <c r="E61" s="34" cm="1">
        <f t="array" ref="E61">_xlfn.IFS(D61=[1]rekentool!$A$2,C61,D61=[1]rekentool!$A$3,C61/12,D61=[1]rekentool!$A$4,C61*1.0833333,D61=[1]rekentool!$A$5,C61/3,D61="",C61)</f>
        <v>0</v>
      </c>
      <c r="F61" s="72"/>
      <c r="G61" s="71"/>
    </row>
    <row r="62" spans="1:7" ht="14" thickTop="1" thickBot="1">
      <c r="A62" s="52" t="s">
        <v>85</v>
      </c>
      <c r="B62" s="52"/>
      <c r="C62" s="47"/>
      <c r="D62" s="38"/>
      <c r="E62" s="34" cm="1">
        <f t="array" ref="E62">_xlfn.IFS(D62=[1]rekentool!$A$2,C62,D62=[1]rekentool!$A$3,C62/12,D62=[1]rekentool!$A$4,C62*1.0833333,D62=[1]rekentool!$A$5,C62/3,D62="",C62)</f>
        <v>0</v>
      </c>
      <c r="F62" s="72"/>
      <c r="G62" s="71"/>
    </row>
    <row r="63" spans="1:7" ht="14" thickTop="1" thickBot="1">
      <c r="A63" s="52" t="s">
        <v>86</v>
      </c>
      <c r="B63" s="52"/>
      <c r="C63" s="47"/>
      <c r="D63" s="38"/>
      <c r="E63" s="34" cm="1">
        <f t="array" ref="E63">_xlfn.IFS(D63=[1]rekentool!$A$2,C63,D63=[1]rekentool!$A$3,C63/12,D63=[1]rekentool!$A$4,C63*1.0833333,D63=[1]rekentool!$A$5,C63/3,D63="",C63)</f>
        <v>0</v>
      </c>
      <c r="F63" s="72"/>
      <c r="G63" s="71"/>
    </row>
    <row r="64" spans="1:7" ht="14" thickTop="1" thickBot="1">
      <c r="A64" s="52" t="s">
        <v>87</v>
      </c>
      <c r="B64" s="52"/>
      <c r="C64" s="47"/>
      <c r="D64" s="38"/>
      <c r="E64" s="34" cm="1">
        <f t="array" ref="E64">_xlfn.IFS(D64=[1]rekentool!$A$2,C64,D64=[1]rekentool!$A$3,C64/12,D64=[1]rekentool!$A$4,C64*1.0833333,D64=[1]rekentool!$A$5,C64/3,D64="",C64)</f>
        <v>0</v>
      </c>
      <c r="F64" s="72"/>
      <c r="G64" s="71"/>
    </row>
    <row r="65" spans="1:7" ht="14" thickTop="1" thickBot="1">
      <c r="A65" s="52" t="s">
        <v>87</v>
      </c>
      <c r="B65" s="52"/>
      <c r="C65" s="88"/>
      <c r="D65" s="38"/>
      <c r="E65" s="34" cm="1">
        <f t="array" ref="E65">_xlfn.IFS(D65=[1]rekentool!$A$2,C65,D65=[1]rekentool!$A$3,C65/12,D65=[1]rekentool!$A$4,C65*1.0833333,D65=[1]rekentool!$A$5,C65/3,D65="",C65)</f>
        <v>0</v>
      </c>
      <c r="F65" s="73"/>
      <c r="G65" s="71"/>
    </row>
    <row r="66" spans="1:7" ht="14" thickTop="1" thickBot="1">
      <c r="A66" s="89"/>
      <c r="B66" s="65" t="s">
        <v>88</v>
      </c>
      <c r="C66" s="90" t="s">
        <v>24</v>
      </c>
      <c r="D66" s="91" t="s">
        <v>25</v>
      </c>
      <c r="E66" s="34"/>
      <c r="F66" s="34"/>
      <c r="G66" s="10"/>
    </row>
    <row r="67" spans="1:7" ht="14" thickTop="1" thickBot="1">
      <c r="A67" s="52" t="s">
        <v>89</v>
      </c>
      <c r="B67" s="52"/>
      <c r="C67" s="37"/>
      <c r="D67" s="38"/>
      <c r="E67" s="34" cm="1">
        <f t="array" ref="E67">_xlfn.IFS(D67=[1]rekentool!$A$2,C67,D67=[1]rekentool!$A$3,C67/12,D67=[1]rekentool!$A$4,C67*1.0833333,D67=[1]rekentool!$A$5,C67/3,D67="",C67)</f>
        <v>0</v>
      </c>
      <c r="F67" s="70"/>
      <c r="G67" s="71"/>
    </row>
    <row r="68" spans="1:7" ht="14" thickTop="1" thickBot="1">
      <c r="A68" s="52" t="s">
        <v>90</v>
      </c>
      <c r="B68" s="52"/>
      <c r="C68" s="47"/>
      <c r="D68" s="38"/>
      <c r="E68" s="34" cm="1">
        <f t="array" ref="E68">_xlfn.IFS(D68=[1]rekentool!$A$2,C68,D68=[1]rekentool!$A$3,C68/12,D68=[1]rekentool!$A$4,C68*1.0833333,D68=[1]rekentool!$A$5,C68/3,D68="",C68)</f>
        <v>0</v>
      </c>
      <c r="F68" s="72"/>
      <c r="G68" s="71"/>
    </row>
    <row r="69" spans="1:7" ht="14" thickTop="1" thickBot="1">
      <c r="A69" s="52" t="s">
        <v>91</v>
      </c>
      <c r="B69" s="52"/>
      <c r="C69" s="47"/>
      <c r="D69" s="38"/>
      <c r="E69" s="34" cm="1">
        <f t="array" ref="E69">_xlfn.IFS(D69=[1]rekentool!$A$2,C69,D69=[1]rekentool!$A$3,C69/12,D69=[1]rekentool!$A$4,C69*1.0833333,D69=[1]rekentool!$A$5,C69/3,D69="",C69)</f>
        <v>0</v>
      </c>
      <c r="F69" s="72"/>
      <c r="G69" s="71"/>
    </row>
    <row r="70" spans="1:7" ht="14" thickTop="1" thickBot="1">
      <c r="A70" s="52" t="s">
        <v>92</v>
      </c>
      <c r="B70" s="52"/>
      <c r="C70" s="47"/>
      <c r="D70" s="38"/>
      <c r="E70" s="34" cm="1">
        <f t="array" ref="E70">_xlfn.IFS(D70=[1]rekentool!$A$2,C70,D70=[1]rekentool!$A$3,C70/12,D70=[1]rekentool!$A$4,C70*1.0833333,D70=[1]rekentool!$A$5,C70/3,D70="",C70)</f>
        <v>0</v>
      </c>
      <c r="F70" s="72"/>
      <c r="G70" s="71"/>
    </row>
    <row r="71" spans="1:7" ht="14" thickTop="1" thickBot="1">
      <c r="A71" s="52" t="s">
        <v>93</v>
      </c>
      <c r="B71" s="52"/>
      <c r="C71" s="47">
        <v>596</v>
      </c>
      <c r="D71" s="38"/>
      <c r="E71" s="34" cm="1">
        <f t="array" ref="E71">_xlfn.IFS(D71=[1]rekentool!$A$2,C71,D71=[1]rekentool!$A$3,C71/12,D71=[1]rekentool!$A$4,C71*1.0833333,D71=[1]rekentool!$A$5,C71/3,D71="",C71)</f>
        <v>596</v>
      </c>
      <c r="F71" s="72"/>
      <c r="G71" s="71"/>
    </row>
    <row r="72" spans="1:7" ht="14" thickTop="1" thickBot="1">
      <c r="A72" s="52" t="s">
        <v>94</v>
      </c>
      <c r="B72" s="52"/>
      <c r="C72" s="47"/>
      <c r="D72" s="38"/>
      <c r="E72" s="34" cm="1">
        <f t="array" ref="E72">_xlfn.IFS(D72=[1]rekentool!$A$2,C72,D72=[1]rekentool!$A$3,C72/12,D72=[1]rekentool!$A$4,C72*1.0833333,D72=[1]rekentool!$A$5,C72/3,D72="",C72)</f>
        <v>0</v>
      </c>
      <c r="F72" s="72"/>
      <c r="G72" s="71"/>
    </row>
    <row r="73" spans="1:7" ht="14" thickTop="1" thickBot="1">
      <c r="A73" s="52" t="s">
        <v>95</v>
      </c>
      <c r="B73" s="52"/>
      <c r="C73" s="47">
        <f>34.74+223.12</f>
        <v>257.86</v>
      </c>
      <c r="D73" s="38"/>
      <c r="E73" s="34" cm="1">
        <f t="array" ref="E73">_xlfn.IFS(D73=[1]rekentool!$A$2,C73,D73=[1]rekentool!$A$3,C73/12,D73=[1]rekentool!$A$4,C73*1.0833333,D73=[1]rekentool!$A$5,C73/3,D73="",C73)</f>
        <v>257.86</v>
      </c>
      <c r="F73" s="72"/>
      <c r="G73" s="71"/>
    </row>
    <row r="74" spans="1:7" ht="14" thickTop="1" thickBot="1">
      <c r="A74" s="52" t="s">
        <v>96</v>
      </c>
      <c r="B74" s="52"/>
      <c r="C74" s="88">
        <f>-41.66</f>
        <v>-41.66</v>
      </c>
      <c r="D74" s="38"/>
      <c r="E74" s="34" cm="1">
        <f t="array" ref="E74">_xlfn.IFS(D74=[1]rekentool!$A$2,C74,D74=[1]rekentool!$A$3,C74/12,D74=[1]rekentool!$A$4,C74*1.0833333,D74=[1]rekentool!$A$5,C74/3,D74="",C74)</f>
        <v>-41.66</v>
      </c>
      <c r="F74" s="73"/>
      <c r="G74" s="71"/>
    </row>
    <row r="75" spans="1:7" ht="13.5" thickTop="1">
      <c r="A75" s="89"/>
      <c r="B75" s="65" t="s">
        <v>97</v>
      </c>
      <c r="C75" s="90" t="s">
        <v>24</v>
      </c>
      <c r="D75" s="67" t="s">
        <v>49</v>
      </c>
      <c r="E75" s="34"/>
      <c r="F75" s="34"/>
      <c r="G75" s="10"/>
    </row>
    <row r="76" spans="1:7">
      <c r="A76" s="52" t="s">
        <v>98</v>
      </c>
      <c r="B76" s="52"/>
      <c r="C76" s="75">
        <v>110.5</v>
      </c>
      <c r="D76" s="50" t="s">
        <v>29</v>
      </c>
      <c r="E76" s="34" cm="1">
        <f t="array" ref="E76">_xlfn.IFS(D76=[1]rekentool!$A$2,C76,D76=[1]rekentool!$A$3,C76/12,D76=[1]rekentool!$A$4,C76*1.0833333,D76=[1]rekentool!$A$5,C76/3,D76="",C76)</f>
        <v>110.5</v>
      </c>
      <c r="F76" s="70"/>
      <c r="G76" s="71"/>
    </row>
    <row r="77" spans="1:7">
      <c r="A77" s="52" t="s">
        <v>99</v>
      </c>
      <c r="B77" s="52"/>
      <c r="C77" s="42">
        <v>125</v>
      </c>
      <c r="D77" s="50" t="s">
        <v>29</v>
      </c>
      <c r="E77" s="34" cm="1">
        <f t="array" ref="E77">_xlfn.IFS(D77=[1]rekentool!$A$2,C77,D77=[1]rekentool!$A$3,C77/12,D77=[1]rekentool!$A$4,C77*1.0833333,D77=[1]rekentool!$A$5,C77/3,D77="",C77)</f>
        <v>125</v>
      </c>
      <c r="F77" s="72"/>
      <c r="G77" s="71"/>
    </row>
    <row r="78" spans="1:7" ht="13.5" thickBot="1">
      <c r="A78" s="52" t="s">
        <v>100</v>
      </c>
      <c r="B78" s="52"/>
      <c r="C78" s="42">
        <v>100</v>
      </c>
      <c r="D78" s="50" t="s">
        <v>29</v>
      </c>
      <c r="E78" s="34" cm="1">
        <f t="array" ref="E78">_xlfn.IFS(D78=[1]rekentool!$A$2,C78,D78=[1]rekentool!$A$3,C78/12,D78=[1]rekentool!$A$4,C78*1.0833333,D78=[1]rekentool!$A$5,C78/3,D78="",C78)</f>
        <v>100</v>
      </c>
      <c r="F78" s="72"/>
      <c r="G78" s="71"/>
    </row>
    <row r="79" spans="1:7" ht="14" thickTop="1" thickBot="1">
      <c r="A79" s="52" t="s">
        <v>101</v>
      </c>
      <c r="B79" s="52"/>
      <c r="C79" s="88">
        <v>200</v>
      </c>
      <c r="D79" s="92"/>
      <c r="E79" s="34" cm="1">
        <f t="array" ref="E79">_xlfn.IFS(D79=[1]rekentool!$A$2,C79,D79=[1]rekentool!$A$3,C79/12,D79=[1]rekentool!$A$4,C79*1.0833333,D79=[1]rekentool!$A$5,C79/3,D79="",C79)</f>
        <v>200</v>
      </c>
      <c r="F79" s="73"/>
      <c r="G79" s="71"/>
    </row>
    <row r="80" spans="1:7" ht="13.5" thickTop="1">
      <c r="A80" s="10"/>
      <c r="B80" s="93" t="s">
        <v>102</v>
      </c>
      <c r="C80" s="93"/>
      <c r="D80" s="93"/>
      <c r="E80" s="94">
        <f>SUM(E27:E79)</f>
        <v>3575.916666666667</v>
      </c>
      <c r="F80" s="71"/>
      <c r="G80" s="10"/>
    </row>
    <row r="81" spans="1:7">
      <c r="A81" s="95"/>
      <c r="B81" s="95"/>
      <c r="C81" s="95"/>
      <c r="D81" s="95"/>
      <c r="E81" s="95"/>
      <c r="F81" s="96"/>
      <c r="G81" s="96"/>
    </row>
    <row r="82" spans="1:7">
      <c r="A82" s="95"/>
      <c r="B82" s="97" t="s">
        <v>103</v>
      </c>
      <c r="C82" s="97"/>
      <c r="D82" s="97"/>
      <c r="E82" s="98">
        <f>E24-E80</f>
        <v>683.94043478260846</v>
      </c>
      <c r="F82" s="95"/>
      <c r="G82" s="95"/>
    </row>
    <row r="83" spans="1:7" ht="13.5" thickBot="1">
      <c r="A83" s="99"/>
      <c r="B83" s="99"/>
      <c r="C83" s="99"/>
      <c r="D83" s="99"/>
      <c r="E83" s="99"/>
      <c r="F83" s="99"/>
      <c r="G83" s="99"/>
    </row>
    <row r="84" spans="1:7">
      <c r="A84" s="100"/>
      <c r="B84" s="101" t="s">
        <v>104</v>
      </c>
      <c r="C84" s="102" t="s">
        <v>24</v>
      </c>
      <c r="D84" s="103" t="s">
        <v>25</v>
      </c>
      <c r="E84" s="104"/>
      <c r="F84" s="105"/>
      <c r="G84" s="106"/>
    </row>
    <row r="85" spans="1:7">
      <c r="A85" s="107" t="s">
        <v>105</v>
      </c>
      <c r="B85" s="108"/>
      <c r="C85" s="109">
        <f>IF([1]rekentool!O3,[1]Vast!E82/[1]rekentool!N4,"")</f>
        <v>170.98510869565212</v>
      </c>
      <c r="D85" s="28" t="s">
        <v>29</v>
      </c>
      <c r="E85" s="110" t="str">
        <f>IF(C85="","",[1]rekentool!$N$6)</f>
        <v>In een jaar kun je € 2.051,82 sparen</v>
      </c>
      <c r="F85" s="110"/>
      <c r="G85" s="111"/>
    </row>
    <row r="86" spans="1:7">
      <c r="A86" s="107" t="s">
        <v>106</v>
      </c>
      <c r="B86" s="108"/>
      <c r="C86" s="109">
        <f>IF([1]rekentool!N3,[1]Vast!E82/[1]rekentool!N4,"")</f>
        <v>170.98510869565212</v>
      </c>
      <c r="D86" s="50" t="s">
        <v>29</v>
      </c>
      <c r="E86" s="112" t="str">
        <f>IFERROR([1]rekentool!$N$6,0)</f>
        <v>In een jaar kun je € 2.051,82 sparen</v>
      </c>
      <c r="F86" s="112"/>
      <c r="G86" s="111"/>
    </row>
    <row r="87" spans="1:7">
      <c r="A87" s="107" t="s">
        <v>107</v>
      </c>
      <c r="B87" s="108"/>
      <c r="C87" s="109">
        <f>IF([1]rekentool!N3,[1]Vast!E82/[1]rekentool!N4,"")</f>
        <v>170.98510869565212</v>
      </c>
      <c r="D87" s="50" t="s">
        <v>29</v>
      </c>
      <c r="E87" s="112" t="str">
        <f>IFERROR([1]rekentool!$N$6,0)</f>
        <v>In een jaar kun je € 2.051,82 sparen</v>
      </c>
      <c r="F87" s="112"/>
      <c r="G87" s="111"/>
    </row>
    <row r="88" spans="1:7">
      <c r="A88" s="107" t="s">
        <v>108</v>
      </c>
      <c r="B88" s="108"/>
      <c r="C88" s="109" t="str">
        <f>IF([1]rekentool!P3,[1]Vast!E82/[1]rekentool!N4,"")</f>
        <v/>
      </c>
      <c r="D88" s="50" t="s">
        <v>29</v>
      </c>
      <c r="E88" s="110" t="str">
        <f>IF(C88="","",[1]rekentool!$N$6)</f>
        <v/>
      </c>
      <c r="F88" s="110"/>
      <c r="G88" s="111"/>
    </row>
    <row r="89" spans="1:7" ht="13.5" thickBot="1">
      <c r="A89" s="107" t="s">
        <v>109</v>
      </c>
      <c r="B89" s="108"/>
      <c r="C89" s="109">
        <f>IF([1]rekentool!N3,[1]Vast!E82/[1]rekentool!N4,"")</f>
        <v>170.98510869565212</v>
      </c>
      <c r="D89" s="46" t="s">
        <v>29</v>
      </c>
      <c r="E89" s="112" t="str">
        <f>IFERROR([1]rekentool!$N$6,0)</f>
        <v>In een jaar kun je € 2.051,82 sparen</v>
      </c>
      <c r="F89" s="112"/>
      <c r="G89" s="111"/>
    </row>
    <row r="90" spans="1:7" ht="13.5" thickBot="1">
      <c r="A90" s="113"/>
      <c r="B90" s="114" t="s">
        <v>110</v>
      </c>
      <c r="C90" s="115">
        <f>SUM(C85:C89)</f>
        <v>683.94043478260846</v>
      </c>
      <c r="D90" s="116" t="s">
        <v>111</v>
      </c>
      <c r="E90" s="117">
        <f>C90*12</f>
        <v>8207.2852173913016</v>
      </c>
      <c r="F90" s="118"/>
      <c r="G90" s="119"/>
    </row>
  </sheetData>
  <mergeCells count="82">
    <mergeCell ref="A87:B87"/>
    <mergeCell ref="E87:F87"/>
    <mergeCell ref="A88:B88"/>
    <mergeCell ref="E88:F88"/>
    <mergeCell ref="A89:B89"/>
    <mergeCell ref="E89:F89"/>
    <mergeCell ref="B80:D80"/>
    <mergeCell ref="B82:D82"/>
    <mergeCell ref="A85:B85"/>
    <mergeCell ref="E85:F85"/>
    <mergeCell ref="A86:B86"/>
    <mergeCell ref="E86:F86"/>
    <mergeCell ref="A73:B73"/>
    <mergeCell ref="A74:B74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2:B72"/>
    <mergeCell ref="A60:B60"/>
    <mergeCell ref="A61:B61"/>
    <mergeCell ref="A62:B62"/>
    <mergeCell ref="A63:B63"/>
    <mergeCell ref="A64:B64"/>
    <mergeCell ref="A65:B65"/>
    <mergeCell ref="A51:B51"/>
    <mergeCell ref="A52:B52"/>
    <mergeCell ref="A53:B53"/>
    <mergeCell ref="A54:B54"/>
    <mergeCell ref="A55:B55"/>
    <mergeCell ref="A59:B59"/>
    <mergeCell ref="A44:B44"/>
    <mergeCell ref="A45:B45"/>
    <mergeCell ref="A46:B46"/>
    <mergeCell ref="A47:B47"/>
    <mergeCell ref="A48:B48"/>
    <mergeCell ref="A50:B50"/>
    <mergeCell ref="A37:B37"/>
    <mergeCell ref="A38:B38"/>
    <mergeCell ref="A39:B39"/>
    <mergeCell ref="A41:B41"/>
    <mergeCell ref="A42:B42"/>
    <mergeCell ref="A43:B43"/>
    <mergeCell ref="A31:B31"/>
    <mergeCell ref="A32:B32"/>
    <mergeCell ref="A33:B33"/>
    <mergeCell ref="A34:B34"/>
    <mergeCell ref="A35:B35"/>
    <mergeCell ref="A36:B36"/>
    <mergeCell ref="A23:B23"/>
    <mergeCell ref="C24:D24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E9:F9"/>
    <mergeCell ref="E10:F10"/>
    <mergeCell ref="A13:B13"/>
    <mergeCell ref="A14:B14"/>
    <mergeCell ref="A15:B15"/>
    <mergeCell ref="A16:B16"/>
    <mergeCell ref="A1:G1"/>
    <mergeCell ref="A2:A9"/>
    <mergeCell ref="C2:D2"/>
    <mergeCell ref="E2:F2"/>
    <mergeCell ref="E3:F3"/>
    <mergeCell ref="E4:F4"/>
    <mergeCell ref="E5:F5"/>
    <mergeCell ref="E6:F6"/>
    <mergeCell ref="E7:F7"/>
    <mergeCell ref="E8:F8"/>
  </mergeCells>
  <conditionalFormatting sqref="E82">
    <cfRule type="cellIs" dxfId="4" priority="3" operator="greaterThan">
      <formula>0</formula>
    </cfRule>
    <cfRule type="cellIs" dxfId="3" priority="4" operator="lessThan">
      <formula>"&lt;=0"</formula>
    </cfRule>
  </conditionalFormatting>
  <conditionalFormatting sqref="G3:G8">
    <cfRule type="expression" dxfId="2" priority="5">
      <formula>#REF!=""</formula>
    </cfRule>
  </conditionalFormatting>
  <conditionalFormatting sqref="C88">
    <cfRule type="expression" dxfId="1" priority="2">
      <formula>$A$11="Nee"</formula>
    </cfRule>
  </conditionalFormatting>
  <conditionalFormatting sqref="E88">
    <cfRule type="expression" dxfId="0" priority="1">
      <formula>$A$11="Nee"</formula>
    </cfRule>
  </conditionalFormatting>
  <dataValidations count="1">
    <dataValidation type="list" allowBlank="1" showInputMessage="1" showErrorMessage="1" sqref="A11" xr:uid="{0CCDC67E-B743-479E-9EF6-D1F5220FBC8F}">
      <formula1>"Ja,Nee"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Manasse Visser</dc:creator>
  <cp:lastModifiedBy>Manasse Visser</cp:lastModifiedBy>
  <dcterms:created xsi:type="dcterms:W3CDTF">2025-11-22T20:41:28Z</dcterms:created>
  <dcterms:modified xsi:type="dcterms:W3CDTF">2025-11-22T20:42:49Z</dcterms:modified>
</cp:coreProperties>
</file>